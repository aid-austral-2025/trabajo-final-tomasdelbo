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estria en Ciencias de Datos\Analisis inteligente de datos\TP Final\TP Final AID Del Bo\trabajo-final-tomasdelbo\datos_crudos\PROYECTOS I+D A REPORTAR\"/>
    </mc:Choice>
  </mc:AlternateContent>
  <xr:revisionPtr revIDLastSave="0" documentId="13_ncr:1_{7DD3A9F4-7CE0-40F2-83D7-95801E91CC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YECTO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PROYECTOS!$A$1:$V$7</definedName>
  </definedNames>
  <calcPr calcId="181029"/>
</workbook>
</file>

<file path=xl/calcChain.xml><?xml version="1.0" encoding="utf-8"?>
<calcChain xmlns="http://schemas.openxmlformats.org/spreadsheetml/2006/main">
  <c r="I30" i="2" l="1"/>
  <c r="I28" i="2"/>
  <c r="I27" i="2"/>
  <c r="I26" i="2"/>
  <c r="I19" i="2"/>
  <c r="J18" i="2"/>
  <c r="I18" i="2"/>
  <c r="Q12" i="2"/>
  <c r="P12" i="2"/>
  <c r="Q11" i="2"/>
  <c r="P11" i="2"/>
  <c r="Q10" i="2"/>
  <c r="P10" i="2"/>
  <c r="T10" i="2" s="1"/>
  <c r="U10" i="2" s="1"/>
  <c r="Q9" i="2"/>
  <c r="P9" i="2"/>
  <c r="Q8" i="2"/>
  <c r="P8" i="2"/>
  <c r="T8" i="2" s="1"/>
  <c r="U8" i="2" s="1"/>
  <c r="W7" i="2"/>
  <c r="Q7" i="2"/>
  <c r="P7" i="2"/>
  <c r="M7" i="2"/>
  <c r="P6" i="2"/>
  <c r="L6" i="2"/>
  <c r="Q6" i="2" s="1"/>
  <c r="R9" i="2" l="1"/>
  <c r="T9" i="2" s="1"/>
  <c r="U9" i="2" s="1"/>
  <c r="R11" i="2"/>
  <c r="T11" i="2" s="1"/>
  <c r="U11" i="2" s="1"/>
  <c r="R6" i="2"/>
  <c r="T6" i="2" s="1"/>
  <c r="R12" i="2"/>
  <c r="T12" i="2" s="1"/>
  <c r="U12" i="2" s="1"/>
  <c r="M6" i="2"/>
  <c r="R7" i="2"/>
  <c r="T7" i="2" s="1"/>
  <c r="U7" i="2" l="1"/>
</calcChain>
</file>

<file path=xl/sharedStrings.xml><?xml version="1.0" encoding="utf-8"?>
<sst xmlns="http://schemas.openxmlformats.org/spreadsheetml/2006/main" count="216" uniqueCount="158">
  <si>
    <t>Diseño</t>
  </si>
  <si>
    <t>N.Mazino</t>
  </si>
  <si>
    <t>P.Gallo</t>
  </si>
  <si>
    <t>F.Dutruel</t>
  </si>
  <si>
    <t>A.BETTI</t>
  </si>
  <si>
    <t>A.Betti</t>
  </si>
  <si>
    <t>REGISTRO DE AREA</t>
  </si>
  <si>
    <t>PROYECTOS I+D A REPORTAR GCIA. GRAL.</t>
  </si>
  <si>
    <t>S.G.C.</t>
  </si>
  <si>
    <t>PLANILLA DE REGISTROS</t>
  </si>
  <si>
    <t>fecha ultima acutalizacion</t>
  </si>
  <si>
    <t>Vigencia 10/04/2017</t>
  </si>
  <si>
    <t>RS-ING-XX</t>
  </si>
  <si>
    <t>a la fecha</t>
  </si>
  <si>
    <t>INDICADOR</t>
  </si>
  <si>
    <t>Grafico</t>
  </si>
  <si>
    <t>COD</t>
  </si>
  <si>
    <t>NOMBRE PROYECTO</t>
  </si>
  <si>
    <t xml:space="preserve">DESCRIPCION PROYECTO </t>
  </si>
  <si>
    <t>TIPO</t>
  </si>
  <si>
    <t xml:space="preserve">PROYECTISTA </t>
  </si>
  <si>
    <t>FECHA SOLICITUD</t>
  </si>
  <si>
    <t>FECHA ENTREGA PROTOTIPO</t>
  </si>
  <si>
    <r>
      <rPr>
        <sz val="11"/>
        <color rgb="FF000000"/>
        <rFont val="Arial"/>
        <family val="2"/>
        <charset val="1"/>
      </rPr>
      <t xml:space="preserve">HS estimadas I+D. </t>
    </r>
    <r>
      <rPr>
        <sz val="10"/>
        <color rgb="FF000000"/>
        <rFont val="Trebuchet MS"/>
        <family val="2"/>
        <charset val="1"/>
      </rPr>
      <t>(Hasta lanzamiento preserie)</t>
    </r>
  </si>
  <si>
    <r>
      <rPr>
        <sz val="11"/>
        <color rgb="FF000000"/>
        <rFont val="Arial"/>
        <family val="2"/>
        <charset val="1"/>
      </rPr>
      <t xml:space="preserve">HS Usadas I+D. </t>
    </r>
    <r>
      <rPr>
        <sz val="10"/>
        <color rgb="FF000000"/>
        <rFont val="Trebuchet MS"/>
        <family val="2"/>
        <charset val="1"/>
      </rPr>
      <t>(Hasta lanzamiento preserie)</t>
    </r>
  </si>
  <si>
    <t>HS preserie y homologacion</t>
  </si>
  <si>
    <t>FECHA OBJETIVO HOMOLAGION</t>
  </si>
  <si>
    <t>FECHA REAL homologacion</t>
  </si>
  <si>
    <t>DESVIO E/ FECHA ACORDADA Y REAL CIERRE</t>
  </si>
  <si>
    <t>OBSERVACIONES</t>
  </si>
  <si>
    <t>Status a la fecha</t>
  </si>
  <si>
    <t>Dias planificados</t>
  </si>
  <si>
    <t>Dias usados</t>
  </si>
  <si>
    <t>% objetivo</t>
  </si>
  <si>
    <t>% Avance real</t>
  </si>
  <si>
    <t>Estatus (+atraso, - margen en días)</t>
  </si>
  <si>
    <t>Estatus prom. (+atraso, - margen en días)</t>
  </si>
  <si>
    <t>P001</t>
  </si>
  <si>
    <t>LIMPIEZA FORMULAS</t>
  </si>
  <si>
    <t xml:space="preserve">SE SOLICITA LA LIMPIEZA DE FORMULAS EN PRESEA, ELIMINANDO FORMULAS ALTERNATIVAS, FUERA DE VIGENCIA, Y FORMULAS DE PIEZAS COMPRADAS X R.I. (DE SER DETERMINADO POR PRODUCCION). TRABAJO A TERMINAR ANTES DE LA IMPLEMENTACION DE MRP EN JULIO/17 </t>
  </si>
  <si>
    <t>Admin</t>
  </si>
  <si>
    <t>M.I.PEREYRA</t>
  </si>
  <si>
    <t>Terminado</t>
  </si>
  <si>
    <t>P002</t>
  </si>
  <si>
    <t>REDISEÑO BLINDI (04/2018)</t>
  </si>
  <si>
    <t>digitalización en 3d de equipo vigente
-. eliminar laterales fundidos de Blind
-Mejorar confiabilidad y costos del equipo</t>
  </si>
  <si>
    <t>A.Betti - J.Moziman</t>
  </si>
  <si>
    <t>31/11/2017</t>
  </si>
  <si>
    <r>
      <rPr>
        <sz val="12"/>
        <color rgb="FF000000"/>
        <rFont val="Times New Roman"/>
        <family val="1"/>
        <charset val="1"/>
      </rPr>
      <t xml:space="preserve">a) BLINDI (25 %), 360 ( 25% ), Modulares( 25%), Panier </t>
    </r>
    <r>
      <rPr>
        <sz val="12"/>
        <color rgb="FF1F497D"/>
        <rFont val="Times New Roman"/>
        <family val="1"/>
        <charset val="1"/>
      </rPr>
      <t xml:space="preserve">y Verona </t>
    </r>
    <r>
      <rPr>
        <sz val="12"/>
        <color rgb="FF000000"/>
        <rFont val="Times New Roman"/>
        <family val="1"/>
        <charset val="1"/>
      </rPr>
      <t xml:space="preserve">(25 %).:
- Estos trabajos se miden hasta la finalización del prototipo, no incluye la etapa de preserie y homologación de producto, esta etapa sigue siendo responsabilidad de ing. pero dependemos mucho de otras áreas.
- En todas las revisiones de producto surgen observaciones e ideas de mejora que exceden el alcance actual pero se dejan pendientes para futuras intervenciones.
</t>
    </r>
  </si>
  <si>
    <t xml:space="preserve">1º) REVISIÓN DE PRODUCTOS  ( 33 % ) Involucra los trabajos de : a) BLINDI (25 %), 360 ( 25% ), Modulares( 25%), Panier y Verona (25 %)
</t>
  </si>
  <si>
    <t>DISEÑO</t>
  </si>
  <si>
    <r>
      <rPr>
        <b/>
        <sz val="11"/>
        <color rgb="FF000000"/>
        <rFont val="Calibri"/>
        <family val="2"/>
        <charset val="1"/>
      </rPr>
      <t>Terminado.</t>
    </r>
    <r>
      <rPr>
        <sz val="11"/>
        <color rgb="FF000000"/>
        <rFont val="Calibri"/>
        <family val="2"/>
        <charset val="1"/>
      </rPr>
      <t xml:space="preserve"> Preserie</t>
    </r>
  </si>
  <si>
    <t>P023A</t>
  </si>
  <si>
    <t>C4000</t>
  </si>
  <si>
    <t>Diseño de mejoras de equipo</t>
  </si>
  <si>
    <t>P024</t>
  </si>
  <si>
    <t>IOT</t>
  </si>
  <si>
    <t>Desarrollar Conectividad en Hornos</t>
  </si>
  <si>
    <t>Desarrollo</t>
  </si>
  <si>
    <t>M.Masetro/ G.Manero/ P.Panichelli</t>
  </si>
  <si>
    <t>Prueba prototipo</t>
  </si>
  <si>
    <t>P025</t>
  </si>
  <si>
    <t>CAFEP</t>
  </si>
  <si>
    <t>Diseño de gabinete de Camara de fermentacion para fabricacion en paneladora</t>
  </si>
  <si>
    <t>P026</t>
  </si>
  <si>
    <t>Horno PA290/Argental LIDO</t>
  </si>
  <si>
    <t>Desarrollar Horno Panier 7090 con Marca Argental para el exterior:  Evaluar:   Bajar tipos de chapa / hacer panelables/
- Bajar aislacion de techo y lateral, 
- Rampa, cubo manija, baquelita, Logo Argental, Policarbonato panel,</t>
  </si>
  <si>
    <t>P027a</t>
  </si>
  <si>
    <t>CONVECTOR 15E</t>
  </si>
  <si>
    <t>Desarrollar el horno convector a GAS 4570 15E</t>
  </si>
  <si>
    <t>Suspendido/Costo no conveniente</t>
  </si>
  <si>
    <t>Rediseño</t>
  </si>
  <si>
    <t>PRESERIE</t>
  </si>
  <si>
    <t>SUSPENDIDO</t>
  </si>
  <si>
    <t>P038</t>
  </si>
  <si>
    <t>Revision M-66</t>
  </si>
  <si>
    <t>Cambiar a chaisis MOD
Reemplazar cabezal por EU2C</t>
  </si>
  <si>
    <t>P039</t>
  </si>
  <si>
    <t>Revision BHC</t>
  </si>
  <si>
    <t>Cambiar a chasis MOD
Cambiar rodamientos de sistema de giro de caño. 
Evaluar alternativas plasticas para caracol y caño
Eliminar pulidos</t>
  </si>
  <si>
    <t>P040</t>
  </si>
  <si>
    <t>LINEA GALILEO</t>
  </si>
  <si>
    <t>Desarrollar linea de trabajo sin descanso, DB, TB y SGAUG. Desarrollar Transportador de barras inclinado para pan frances y pan de molde</t>
  </si>
  <si>
    <t>Pampaluna/Gorla</t>
  </si>
  <si>
    <t>P041</t>
  </si>
  <si>
    <t>GEPN</t>
  </si>
  <si>
    <t xml:space="preserve">Reduccion de costo: Mejora de eq.electrico - Reducir variedad de tipos de chapa - Pasar todo lo posible a chapas paneladas
Fabricacion Modular
Unificacion de piezas y materiales 
</t>
  </si>
  <si>
    <t>P042</t>
  </si>
  <si>
    <t>HIDRA</t>
  </si>
  <si>
    <t>Armado para DEMO</t>
  </si>
  <si>
    <t>P043</t>
  </si>
  <si>
    <t>TRINCHADOR  GTMINI</t>
  </si>
  <si>
    <t>DISEÑO DE UN TRINCHADOR MAS ECONOMICO AL GT38</t>
  </si>
  <si>
    <t>P044</t>
  </si>
  <si>
    <t>FE 472</t>
  </si>
  <si>
    <t xml:space="preserve">REDISEÑLO DE  HORNO 472: Mejora de eq.electrico - Reducir variedad de tipos de chapa - Pasar todo lo posible a chapas paneladas
Fabricacion Modular
Unificacion de piezas y materiales 
</t>
  </si>
  <si>
    <t>P045</t>
  </si>
  <si>
    <t>NESTING CHAPERIA</t>
  </si>
  <si>
    <t xml:space="preserve">lograr agilidad, eficiencia y control en el proceso de corte por Laser. Se pretende cortar un producto por nesting para poder contar con las piezas lo antes posible y no demorar la provisión a planta. 
Mejorar el aprovechamiento de la chapa y cuantificar el descarte de chapa por cada producto para contemplarlo en los costos.
</t>
  </si>
  <si>
    <t>M.Montrasi</t>
  </si>
  <si>
    <t>P046</t>
  </si>
  <si>
    <t>DIVISORA ARGENTAL</t>
  </si>
  <si>
    <t>DISEÑAR divisora ARGENTAL contemplar su uso con transportador inclinado y GTC</t>
  </si>
  <si>
    <t>P047</t>
  </si>
  <si>
    <t>HORNO CONVECTOR ARGENTAL</t>
  </si>
  <si>
    <t>ANALIZAR COSTOS DE HORNOS CONVECTOES DE 6 bandejas o menos</t>
  </si>
  <si>
    <t>Del BO</t>
  </si>
  <si>
    <t>P048</t>
  </si>
  <si>
    <t>GP70</t>
  </si>
  <si>
    <t>Planimetria 3D - Unificacion de tipos de chapas y Piezas estandar</t>
  </si>
  <si>
    <t>T.Lazaro</t>
  </si>
  <si>
    <t>P049</t>
  </si>
  <si>
    <t>Rediseño Retractil</t>
  </si>
  <si>
    <t>Eliminar soldaduras. Unificar tipos de chapas, Estandarizar piezas, utilizar Reductores estandar y guias lineas comerciales</t>
  </si>
  <si>
    <t>P050</t>
  </si>
  <si>
    <t>CFA Control</t>
  </si>
  <si>
    <t>Desarrollo de camara de fermentacion Controlada</t>
  </si>
  <si>
    <t>PROTOTIPO</t>
  </si>
  <si>
    <t>P051</t>
  </si>
  <si>
    <t>Maquetas 3D</t>
  </si>
  <si>
    <t>Diseño de sistemas productivos Argental</t>
  </si>
  <si>
    <t>P052</t>
  </si>
  <si>
    <t>Tornado PLUS</t>
  </si>
  <si>
    <t>P053</t>
  </si>
  <si>
    <t>ALIMENTACION CONTINUA DE MASA</t>
  </si>
  <si>
    <t>Linea de alimentacion continua de masa</t>
  </si>
  <si>
    <t>Lanzamiento</t>
  </si>
  <si>
    <t>P054</t>
  </si>
  <si>
    <t>REBOLLADO SOBRE TRANSPORTDOR</t>
  </si>
  <si>
    <t>Modulo de rebollado sobre mesa</t>
  </si>
  <si>
    <t>P055</t>
  </si>
  <si>
    <t>DOSIFICADOR MULTIPLE</t>
  </si>
  <si>
    <t>Dosificador multiple de solidos</t>
  </si>
  <si>
    <t>P056</t>
  </si>
  <si>
    <t>P057</t>
  </si>
  <si>
    <t>MEJORA COSTO PA240</t>
  </si>
  <si>
    <t>Mejoras en Costo y terminacion de horno PANIER 4570</t>
  </si>
  <si>
    <t>P058</t>
  </si>
  <si>
    <t>REDISEÑO MINILINEA</t>
  </si>
  <si>
    <t>MEJORAS EN CALIBRADOR, RECUPERADOR DE RECORTES, CHASIS, GUILLOTINA E, SEPARADOR</t>
  </si>
  <si>
    <t>P059</t>
  </si>
  <si>
    <t>CHAPERIA DB1000</t>
  </si>
  <si>
    <t>Diseño de chaperia DB1000 para procesar en argental</t>
  </si>
  <si>
    <t>Reediseño</t>
  </si>
  <si>
    <t>P060</t>
  </si>
  <si>
    <t>REDISEÑO Tornado PL-II-E</t>
  </si>
  <si>
    <t>Rediseño RECUPERADOR DE RECORTES para tornado plus-E y retractil</t>
  </si>
  <si>
    <t>P061</t>
  </si>
  <si>
    <t>REDISEÑO HORNO PA290</t>
  </si>
  <si>
    <t>UNIFICAR PIEZAS CON PA340 y FE4.0. Mejoras en Costo y terminacion de horno PANIER 7090.</t>
  </si>
  <si>
    <t>P062</t>
  </si>
  <si>
    <t>SP - Modular</t>
  </si>
  <si>
    <t>Rediseño del SP para acoplar a SGAU. Eliminar soldaduras</t>
  </si>
  <si>
    <t>MEJORAS EN TRANSPORTADOR DE BARRAS</t>
  </si>
  <si>
    <t xml:space="preserve">Rediseño Transportador de barras </t>
  </si>
  <si>
    <t>P063</t>
  </si>
  <si>
    <t xml:space="preserve">C4000 </t>
  </si>
  <si>
    <t>Rediseño C4000 - Elimnar fieltros y simplificar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</si>
</sst>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\-??_ ;_ @_ "/>
    <numFmt numFmtId="165" formatCode="_ * #,##0_ ;_ * \-#,##0_ ;_ * \-??_ ;_ @_ "/>
    <numFmt numFmtId="167" formatCode="0\ %"/>
    <numFmt numFmtId="169" formatCode="dd/mm/yyyy;@"/>
    <numFmt numFmtId="170" formatCode="dd/mm/yyyy"/>
  </numFmts>
  <fonts count="1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6"/>
      <name val="Trebuchet MS"/>
      <family val="2"/>
      <charset val="1"/>
    </font>
    <font>
      <b/>
      <sz val="12"/>
      <name val="Trebuchet MS"/>
      <family val="2"/>
      <charset val="1"/>
    </font>
    <font>
      <sz val="12"/>
      <name val="Calibri"/>
      <family val="2"/>
      <charset val="1"/>
    </font>
    <font>
      <sz val="10"/>
      <color rgb="FF000000"/>
      <name val="Trebuchet MS"/>
      <family val="2"/>
      <charset val="1"/>
    </font>
    <font>
      <b/>
      <sz val="10"/>
      <color rgb="FF000000"/>
      <name val="Trebuchet MS"/>
      <family val="2"/>
      <charset val="1"/>
    </font>
    <font>
      <sz val="12"/>
      <color rgb="FF000000"/>
      <name val="Times New Roman"/>
      <family val="1"/>
      <charset val="1"/>
    </font>
    <font>
      <sz val="12"/>
      <color rgb="FF1F497D"/>
      <name val="Times New Roman"/>
      <family val="1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D428"/>
      </patternFill>
    </fill>
    <fill>
      <patternFill patternType="solid">
        <fgColor rgb="FFBFBFBF"/>
        <bgColor rgb="FFB2B2B2"/>
      </patternFill>
    </fill>
    <fill>
      <patternFill patternType="solid">
        <fgColor rgb="FFC5E0B4"/>
        <b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1" fillId="0" borderId="0" applyBorder="0" applyProtection="0"/>
    <xf numFmtId="167" fontId="11" fillId="0" borderId="0" applyBorder="0" applyProtection="0"/>
    <xf numFmtId="0" fontId="11" fillId="0" borderId="0"/>
    <xf numFmtId="0" fontId="11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69" fontId="0" fillId="0" borderId="7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1" applyNumberFormat="1" applyFont="1" applyBorder="1" applyAlignment="1" applyProtection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/>
    <xf numFmtId="165" fontId="2" fillId="0" borderId="0" xfId="1" applyNumberFormat="1" applyFont="1" applyBorder="1" applyAlignment="1" applyProtection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170" fontId="2" fillId="0" borderId="3" xfId="0" applyNumberFormat="1" applyFont="1" applyBorder="1"/>
    <xf numFmtId="165" fontId="6" fillId="0" borderId="3" xfId="1" applyNumberFormat="1" applyFont="1" applyBorder="1" applyAlignment="1" applyProtection="1">
      <alignment horizontal="left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69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 applyProtection="1">
      <alignment horizontal="left" vertical="center" wrapText="1" indent="3"/>
    </xf>
    <xf numFmtId="0" fontId="1" fillId="0" borderId="1" xfId="0" applyFont="1" applyBorder="1" applyAlignment="1">
      <alignment horizontal="center" vertical="center" wrapText="1"/>
    </xf>
    <xf numFmtId="165" fontId="0" fillId="0" borderId="1" xfId="1" applyNumberFormat="1" applyFont="1" applyBorder="1" applyAlignment="1" applyProtection="1">
      <alignment horizontal="left" vertical="center"/>
    </xf>
    <xf numFmtId="0" fontId="0" fillId="0" borderId="1" xfId="2" applyNumberFormat="1" applyFont="1" applyBorder="1" applyAlignment="1" applyProtection="1">
      <alignment horizontal="center" vertical="center"/>
    </xf>
    <xf numFmtId="167" fontId="0" fillId="0" borderId="1" xfId="2" applyFont="1" applyBorder="1" applyAlignment="1" applyProtection="1">
      <alignment horizontal="center" vertical="center"/>
    </xf>
    <xf numFmtId="167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165" fontId="1" fillId="0" borderId="1" xfId="1" applyNumberFormat="1" applyFont="1" applyBorder="1" applyAlignment="1" applyProtection="1">
      <alignment horizontal="center" vertical="center"/>
    </xf>
    <xf numFmtId="165" fontId="0" fillId="0" borderId="9" xfId="1" applyNumberFormat="1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</cellXfs>
  <cellStyles count="5">
    <cellStyle name="Millares" xfId="1" builtinId="3"/>
    <cellStyle name="Normal" xfId="0" builtinId="0"/>
    <cellStyle name="Normal 2" xfId="3" xr:uid="{00000000-0005-0000-0000-000002000000}"/>
    <cellStyle name="Normal 2 2" xfId="4" xr:uid="{00000000-0005-0000-0000-000003000000}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8B8B"/>
      <rgbColor rgb="FF800080"/>
      <rgbColor rgb="FF008080"/>
      <rgbColor rgb="FFBFBFBF"/>
      <rgbColor rgb="FF808080"/>
      <rgbColor rgb="FFA6A6A6"/>
      <rgbColor rgb="FF7030A0"/>
      <rgbColor rgb="FFF2F2F2"/>
      <rgbColor rgb="FFD9D9D9"/>
      <rgbColor rgb="FF660066"/>
      <rgbColor rgb="FFFF8080"/>
      <rgbColor rgb="FF0066CC"/>
      <rgbColor rgb="FFD0CECE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A9D18E"/>
      <rgbColor rgb="FFB2B2B2"/>
      <rgbColor rgb="FFFF99CC"/>
      <rgbColor rgb="FFAFABAB"/>
      <rgbColor rgb="FFF8CBAD"/>
      <rgbColor rgb="FF3366FF"/>
      <rgbColor rgb="FF77BC65"/>
      <rgbColor rgb="FF92D050"/>
      <rgbColor rgb="FFFFC000"/>
      <rgbColor rgb="FFFFBF00"/>
      <rgbColor rgb="FFED7D31"/>
      <rgbColor rgb="FF7F7F7F"/>
      <rgbColor rgb="FF999999"/>
      <rgbColor rgb="FF003366"/>
      <rgbColor rgb="FF5B9BD5"/>
      <rgbColor rgb="FF0D0D0D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55440</xdr:colOff>
      <xdr:row>0</xdr:row>
      <xdr:rowOff>112680</xdr:rowOff>
    </xdr:from>
    <xdr:to>
      <xdr:col>1</xdr:col>
      <xdr:colOff>42480</xdr:colOff>
      <xdr:row>0</xdr:row>
      <xdr:rowOff>113040</xdr:rowOff>
    </xdr:to>
    <xdr:pic>
      <xdr:nvPicPr>
        <xdr:cNvPr id="2" name="2 Imagen" descr="Argental ve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440" y="112680"/>
          <a:ext cx="825120" cy="360"/>
        </a:xfrm>
        <a:prstGeom prst="rect">
          <a:avLst/>
        </a:prstGeom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2/BETTI_ProyectosxhoraxRubroxMes20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3/BETTI_ProyectosxhoraxRubroxMes20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3/RODRIGUEZ_ProyectosxhoraxRubroxMes202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3/DEL_BO_ProyectosxhoraxRubroxMes202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3/MAZINO_ProyectosxhoraxRubroxMes202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2/MAZINO_ProyectosxhoraxRubroxMes202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3/LAZARO_ProyectosxhoraxRubroxMes20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ILLAS/PLANILLAS%20X%20PUESTO%20X%20HORA%20Y%20X%20MEJORAS/Antecedente/2023/DUTRUEL_ProyectosxhoraxRubroxMes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>
        <row r="4">
          <cell r="AL4">
            <v>2</v>
          </cell>
        </row>
      </sheetData>
      <sheetData sheetId="3">
        <row r="4">
          <cell r="AL4">
            <v>46.5</v>
          </cell>
        </row>
      </sheetData>
      <sheetData sheetId="4">
        <row r="4">
          <cell r="AL4">
            <v>14</v>
          </cell>
        </row>
        <row r="5">
          <cell r="AL5">
            <v>53</v>
          </cell>
        </row>
      </sheetData>
      <sheetData sheetId="5">
        <row r="6">
          <cell r="AL6">
            <v>2.5</v>
          </cell>
        </row>
      </sheetData>
      <sheetData sheetId="6">
        <row r="5">
          <cell r="AL5">
            <v>4</v>
          </cell>
        </row>
        <row r="24">
          <cell r="AL24">
            <v>20</v>
          </cell>
        </row>
      </sheetData>
      <sheetData sheetId="7">
        <row r="23">
          <cell r="AL23">
            <v>72</v>
          </cell>
        </row>
      </sheetData>
      <sheetData sheetId="8">
        <row r="4">
          <cell r="AL4">
            <v>24</v>
          </cell>
        </row>
        <row r="23">
          <cell r="AL23">
            <v>25.5</v>
          </cell>
        </row>
      </sheetData>
      <sheetData sheetId="9">
        <row r="4">
          <cell r="AL4">
            <v>50</v>
          </cell>
        </row>
        <row r="22">
          <cell r="AL22">
            <v>2.5</v>
          </cell>
        </row>
      </sheetData>
      <sheetData sheetId="10"/>
      <sheetData sheetId="11">
        <row r="22">
          <cell r="AL22">
            <v>9</v>
          </cell>
        </row>
        <row r="24">
          <cell r="AL24">
            <v>1.5</v>
          </cell>
        </row>
      </sheetData>
      <sheetData sheetId="12">
        <row r="7">
          <cell r="AL7">
            <v>19.5</v>
          </cell>
        </row>
      </sheetData>
      <sheetData sheetId="13">
        <row r="4">
          <cell r="AL4">
            <v>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>
        <row r="4">
          <cell r="AL4">
            <v>36.5</v>
          </cell>
        </row>
      </sheetData>
      <sheetData sheetId="3"/>
      <sheetData sheetId="4"/>
      <sheetData sheetId="5">
        <row r="4">
          <cell r="AL4">
            <v>47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AL4">
            <v>96</v>
          </cell>
        </row>
      </sheetData>
      <sheetData sheetId="12">
        <row r="4">
          <cell r="AL4">
            <v>160</v>
          </cell>
        </row>
      </sheetData>
      <sheetData sheetId="13">
        <row r="4">
          <cell r="AL4">
            <v>45.5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>
        <row r="2">
          <cell r="D2">
            <v>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L4">
            <v>8</v>
          </cell>
        </row>
      </sheetData>
      <sheetData sheetId="9">
        <row r="4">
          <cell r="AL4">
            <v>64.5</v>
          </cell>
        </row>
      </sheetData>
      <sheetData sheetId="10">
        <row r="4">
          <cell r="AL4">
            <v>44</v>
          </cell>
        </row>
      </sheetData>
      <sheetData sheetId="11">
        <row r="4">
          <cell r="AL4">
            <v>68</v>
          </cell>
        </row>
      </sheetData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>
        <row r="4">
          <cell r="AL4">
            <v>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L4">
            <v>7</v>
          </cell>
        </row>
      </sheetData>
      <sheetData sheetId="12">
        <row r="4">
          <cell r="AL4">
            <v>36</v>
          </cell>
        </row>
      </sheetData>
      <sheetData sheetId="13">
        <row r="4">
          <cell r="AL4">
            <v>46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>
        <row r="4">
          <cell r="AL4">
            <v>30</v>
          </cell>
        </row>
      </sheetData>
      <sheetData sheetId="3">
        <row r="4">
          <cell r="AL4">
            <v>28.5</v>
          </cell>
        </row>
      </sheetData>
      <sheetData sheetId="4">
        <row r="6">
          <cell r="AL6">
            <v>13</v>
          </cell>
        </row>
      </sheetData>
      <sheetData sheetId="5">
        <row r="5">
          <cell r="AL5">
            <v>41</v>
          </cell>
        </row>
      </sheetData>
      <sheetData sheetId="6">
        <row r="5">
          <cell r="AL5">
            <v>11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Total x Rubr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/>
      <sheetData sheetId="4">
        <row r="7">
          <cell r="AL7">
            <v>11.5</v>
          </cell>
        </row>
      </sheetData>
      <sheetData sheetId="5">
        <row r="5">
          <cell r="AL5">
            <v>20.5</v>
          </cell>
        </row>
      </sheetData>
      <sheetData sheetId="6">
        <row r="5">
          <cell r="AL5">
            <v>5.5</v>
          </cell>
        </row>
      </sheetData>
      <sheetData sheetId="7">
        <row r="4">
          <cell r="AL4">
            <v>17.5</v>
          </cell>
        </row>
      </sheetData>
      <sheetData sheetId="8">
        <row r="5">
          <cell r="AL5">
            <v>21.5</v>
          </cell>
        </row>
      </sheetData>
      <sheetData sheetId="9">
        <row r="5">
          <cell r="AL5">
            <v>25.5</v>
          </cell>
        </row>
      </sheetData>
      <sheetData sheetId="10">
        <row r="5">
          <cell r="AL5">
            <v>18.5</v>
          </cell>
        </row>
        <row r="6">
          <cell r="AL6">
            <v>15.5</v>
          </cell>
        </row>
      </sheetData>
      <sheetData sheetId="11">
        <row r="5">
          <cell r="AL5">
            <v>12.5</v>
          </cell>
        </row>
        <row r="6">
          <cell r="AL6">
            <v>40.5</v>
          </cell>
        </row>
      </sheetData>
      <sheetData sheetId="12">
        <row r="4">
          <cell r="AL4">
            <v>9</v>
          </cell>
        </row>
        <row r="5">
          <cell r="AL5">
            <v>34</v>
          </cell>
        </row>
        <row r="6">
          <cell r="AL6">
            <v>5.5</v>
          </cell>
        </row>
      </sheetData>
      <sheetData sheetId="13">
        <row r="4">
          <cell r="AL4">
            <v>2</v>
          </cell>
        </row>
        <row r="5">
          <cell r="AL5">
            <v>1</v>
          </cell>
        </row>
        <row r="6">
          <cell r="AL6">
            <v>25.5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8"/>
  <sheetViews>
    <sheetView tabSelected="1" zoomScale="50" zoomScaleNormal="50" workbookViewId="0">
      <pane xSplit="2" ySplit="5" topLeftCell="C6" activePane="bottomRight" state="frozen"/>
      <selection pane="topRight" activeCell="C1" sqref="C1"/>
      <selection pane="bottomLeft" activeCell="A61" sqref="A61"/>
      <selection pane="bottomRight" activeCell="G16" sqref="G16"/>
    </sheetView>
  </sheetViews>
  <sheetFormatPr baseColWidth="10" defaultColWidth="11.44140625" defaultRowHeight="14.4" x14ac:dyDescent="0.3"/>
  <cols>
    <col min="1" max="1" width="11.88671875" style="2" customWidth="1"/>
    <col min="2" max="2" width="16.88671875" style="3" customWidth="1"/>
    <col min="3" max="3" width="57.88671875" style="2" customWidth="1"/>
    <col min="4" max="4" width="10.44140625" style="2" customWidth="1"/>
    <col min="5" max="5" width="15.44140625" style="2" customWidth="1"/>
    <col min="6" max="7" width="12.88671875" style="4" customWidth="1"/>
    <col min="8" max="10" width="13.33203125" style="5" customWidth="1"/>
    <col min="11" max="11" width="13.33203125" style="4" customWidth="1"/>
    <col min="12" max="12" width="13.44140625" style="4" customWidth="1"/>
    <col min="13" max="13" width="12.44140625" style="2" customWidth="1"/>
    <col min="14" max="14" width="36.88671875" style="2" customWidth="1"/>
    <col min="15" max="15" width="23.88671875" style="6" customWidth="1"/>
    <col min="16" max="16" width="7.88671875" style="7" customWidth="1"/>
    <col min="17" max="17" width="8.6640625" style="6" customWidth="1"/>
    <col min="18" max="18" width="8.33203125" style="6" customWidth="1"/>
    <col min="19" max="19" width="7.109375" style="6" customWidth="1"/>
    <col min="20" max="20" width="10.5546875" style="6" customWidth="1"/>
    <col min="21" max="21" width="12.5546875" style="8" customWidth="1"/>
    <col min="22" max="22" width="15.44140625" style="6" customWidth="1"/>
    <col min="23" max="23" width="40" style="6" customWidth="1"/>
    <col min="24" max="16384" width="11.44140625" style="6"/>
  </cols>
  <sheetData>
    <row r="1" spans="1:23" s="9" customFormat="1" ht="24" customHeight="1" x14ac:dyDescent="0.3">
      <c r="A1" s="58"/>
      <c r="B1" s="59" t="s">
        <v>6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P1" s="10"/>
      <c r="T1" s="11"/>
    </row>
    <row r="2" spans="1:23" s="9" customFormat="1" ht="54.75" customHeight="1" x14ac:dyDescent="0.3">
      <c r="A2" s="58"/>
      <c r="B2" s="60" t="s">
        <v>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P2" s="10"/>
      <c r="T2" s="11"/>
    </row>
    <row r="3" spans="1:23" s="9" customFormat="1" ht="21.75" customHeight="1" x14ac:dyDescent="0.3">
      <c r="A3" s="12" t="s">
        <v>8</v>
      </c>
      <c r="B3" s="61" t="s">
        <v>9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13" t="s">
        <v>10</v>
      </c>
      <c r="P3" s="10"/>
      <c r="T3" s="11"/>
    </row>
    <row r="4" spans="1:23" s="19" customFormat="1" ht="27.75" customHeight="1" x14ac:dyDescent="0.3">
      <c r="A4" s="62" t="s">
        <v>11</v>
      </c>
      <c r="B4" s="62"/>
      <c r="C4" s="63" t="s">
        <v>12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14">
        <v>43739</v>
      </c>
      <c r="P4" s="15"/>
      <c r="Q4" s="16" t="s">
        <v>13</v>
      </c>
      <c r="R4" s="16" t="s">
        <v>13</v>
      </c>
      <c r="S4" s="16"/>
      <c r="T4" s="17"/>
      <c r="U4" s="17" t="s">
        <v>14</v>
      </c>
      <c r="V4" s="18" t="s">
        <v>15</v>
      </c>
    </row>
    <row r="5" spans="1:23" ht="68.25" customHeight="1" x14ac:dyDescent="0.3">
      <c r="A5" s="20" t="s">
        <v>16</v>
      </c>
      <c r="B5" s="21" t="s">
        <v>17</v>
      </c>
      <c r="C5" s="22" t="s">
        <v>18</v>
      </c>
      <c r="D5" s="22" t="s">
        <v>19</v>
      </c>
      <c r="E5" s="22" t="s">
        <v>20</v>
      </c>
      <c r="F5" s="23" t="s">
        <v>21</v>
      </c>
      <c r="G5" s="23" t="s">
        <v>22</v>
      </c>
      <c r="H5" s="24" t="s">
        <v>23</v>
      </c>
      <c r="I5" s="24" t="s">
        <v>24</v>
      </c>
      <c r="J5" s="24" t="s">
        <v>25</v>
      </c>
      <c r="K5" s="23" t="s">
        <v>26</v>
      </c>
      <c r="L5" s="23" t="s">
        <v>27</v>
      </c>
      <c r="M5" s="22" t="s">
        <v>28</v>
      </c>
      <c r="N5" s="22" t="s">
        <v>29</v>
      </c>
      <c r="O5" s="25" t="s">
        <v>30</v>
      </c>
      <c r="P5" s="26" t="s">
        <v>31</v>
      </c>
      <c r="Q5" s="25" t="s">
        <v>32</v>
      </c>
      <c r="R5" s="25" t="s">
        <v>33</v>
      </c>
      <c r="S5" s="27" t="s">
        <v>34</v>
      </c>
      <c r="T5" s="25" t="s">
        <v>35</v>
      </c>
      <c r="U5" s="25" t="s">
        <v>36</v>
      </c>
      <c r="V5" s="28"/>
      <c r="W5" s="29"/>
    </row>
    <row r="6" spans="1:23" ht="49.5" customHeight="1" x14ac:dyDescent="0.3">
      <c r="A6" s="30" t="s">
        <v>37</v>
      </c>
      <c r="B6" s="31" t="s">
        <v>38</v>
      </c>
      <c r="C6" s="32" t="s">
        <v>39</v>
      </c>
      <c r="D6" s="32" t="s">
        <v>40</v>
      </c>
      <c r="E6" s="32" t="s">
        <v>41</v>
      </c>
      <c r="F6" s="33">
        <v>42767</v>
      </c>
      <c r="G6" s="33"/>
      <c r="H6" s="34"/>
      <c r="I6" s="34"/>
      <c r="J6" s="34"/>
      <c r="K6" s="33">
        <v>42916</v>
      </c>
      <c r="L6" s="33">
        <f>+K6</f>
        <v>42916</v>
      </c>
      <c r="M6" s="35">
        <f>+L6-K6</f>
        <v>0</v>
      </c>
      <c r="N6" s="32"/>
      <c r="O6" s="36" t="s">
        <v>42</v>
      </c>
      <c r="P6" s="37">
        <f t="shared" ref="P6:P12" si="0">+K6-F6</f>
        <v>149</v>
      </c>
      <c r="Q6" s="38">
        <f>+(L6-F6)</f>
        <v>149</v>
      </c>
      <c r="R6" s="39">
        <f>+(Q6)/P6</f>
        <v>1</v>
      </c>
      <c r="S6" s="40">
        <v>1</v>
      </c>
      <c r="T6" s="41">
        <f>+(R6-S6)*P6</f>
        <v>0</v>
      </c>
      <c r="U6" s="42">
        <v>0</v>
      </c>
      <c r="V6" s="43"/>
    </row>
    <row r="7" spans="1:23" ht="45.75" customHeight="1" x14ac:dyDescent="0.3">
      <c r="A7" s="30" t="s">
        <v>43</v>
      </c>
      <c r="B7" s="42" t="s">
        <v>44</v>
      </c>
      <c r="C7" s="44" t="s">
        <v>45</v>
      </c>
      <c r="D7" s="45" t="s">
        <v>0</v>
      </c>
      <c r="E7" s="45" t="s">
        <v>46</v>
      </c>
      <c r="F7" s="46">
        <v>42857</v>
      </c>
      <c r="G7" s="46" t="s">
        <v>47</v>
      </c>
      <c r="H7" s="47"/>
      <c r="I7" s="47"/>
      <c r="J7" s="47"/>
      <c r="K7" s="48">
        <v>43226</v>
      </c>
      <c r="L7" s="46">
        <v>43226</v>
      </c>
      <c r="M7" s="35">
        <f>+L7-K7</f>
        <v>0</v>
      </c>
      <c r="N7" s="57" t="s">
        <v>48</v>
      </c>
      <c r="O7" s="36" t="s">
        <v>42</v>
      </c>
      <c r="P7" s="37">
        <f t="shared" si="0"/>
        <v>369</v>
      </c>
      <c r="Q7" s="38">
        <f>+(L7-F7)</f>
        <v>369</v>
      </c>
      <c r="R7" s="39">
        <f>+(Q7)/P7</f>
        <v>1</v>
      </c>
      <c r="S7" s="40">
        <v>1</v>
      </c>
      <c r="T7" s="41">
        <f>+(R7-S7)*P7</f>
        <v>0</v>
      </c>
      <c r="U7" s="55">
        <f>+AVERAGE(T7:T7)</f>
        <v>0</v>
      </c>
      <c r="V7" s="56" t="s">
        <v>49</v>
      </c>
      <c r="W7" s="49" t="str">
        <f>+CONCATENATE(B7,K7)</f>
        <v>REDISEÑO BLINDI (04/2018)43226</v>
      </c>
    </row>
    <row r="8" spans="1:23" x14ac:dyDescent="0.3">
      <c r="A8" s="52" t="s">
        <v>52</v>
      </c>
      <c r="B8" s="42" t="s">
        <v>53</v>
      </c>
      <c r="C8" s="45" t="s">
        <v>54</v>
      </c>
      <c r="D8" s="45" t="s">
        <v>0</v>
      </c>
      <c r="E8" s="45" t="s">
        <v>3</v>
      </c>
      <c r="F8" s="46">
        <v>43388</v>
      </c>
      <c r="G8" s="46"/>
      <c r="H8" s="47"/>
      <c r="I8" s="47"/>
      <c r="J8" s="47"/>
      <c r="K8" s="46">
        <v>43615</v>
      </c>
      <c r="L8" s="46"/>
      <c r="M8" s="45"/>
      <c r="N8" s="45"/>
      <c r="O8" s="36" t="s">
        <v>51</v>
      </c>
      <c r="P8" s="37">
        <f t="shared" si="0"/>
        <v>227</v>
      </c>
      <c r="Q8" s="38">
        <f t="shared" ref="Q8:Q12" si="1">+($O$4-F8)</f>
        <v>351</v>
      </c>
      <c r="R8" s="39">
        <v>1</v>
      </c>
      <c r="S8" s="40">
        <v>1</v>
      </c>
      <c r="T8" s="41">
        <f t="shared" ref="T8:T12" si="2">+(R8-S8)*P8</f>
        <v>0</v>
      </c>
      <c r="U8" s="51">
        <f t="shared" ref="U8:U12" si="3">+T8</f>
        <v>0</v>
      </c>
      <c r="V8" s="53"/>
    </row>
    <row r="9" spans="1:23" ht="43.2" x14ac:dyDescent="0.3">
      <c r="A9" s="36" t="s">
        <v>55</v>
      </c>
      <c r="B9" s="42" t="s">
        <v>56</v>
      </c>
      <c r="C9" s="45" t="s">
        <v>57</v>
      </c>
      <c r="D9" s="45" t="s">
        <v>58</v>
      </c>
      <c r="E9" s="45" t="s">
        <v>59</v>
      </c>
      <c r="F9" s="46">
        <v>43233</v>
      </c>
      <c r="G9" s="46"/>
      <c r="H9" s="47"/>
      <c r="I9" s="47"/>
      <c r="J9" s="47"/>
      <c r="K9" s="46">
        <v>43615</v>
      </c>
      <c r="L9" s="46"/>
      <c r="M9" s="45"/>
      <c r="N9" s="45"/>
      <c r="O9" s="45" t="s">
        <v>60</v>
      </c>
      <c r="P9" s="37">
        <f t="shared" si="0"/>
        <v>382</v>
      </c>
      <c r="Q9" s="45">
        <f t="shared" si="1"/>
        <v>506</v>
      </c>
      <c r="R9" s="45">
        <f>+(Q9)/P9</f>
        <v>1.3246073298429319</v>
      </c>
      <c r="S9" s="50">
        <v>0.6</v>
      </c>
      <c r="T9" s="41">
        <f t="shared" si="2"/>
        <v>276.8</v>
      </c>
      <c r="U9" s="51">
        <f t="shared" si="3"/>
        <v>276.8</v>
      </c>
      <c r="V9" s="53"/>
    </row>
    <row r="10" spans="1:23" ht="28.8" x14ac:dyDescent="0.3">
      <c r="A10" s="36" t="s">
        <v>61</v>
      </c>
      <c r="B10" s="42" t="s">
        <v>62</v>
      </c>
      <c r="C10" s="45" t="s">
        <v>63</v>
      </c>
      <c r="D10" s="45" t="s">
        <v>58</v>
      </c>
      <c r="E10" s="45" t="s">
        <v>1</v>
      </c>
      <c r="F10" s="46">
        <v>43488</v>
      </c>
      <c r="G10" s="46">
        <v>43707</v>
      </c>
      <c r="H10" s="47"/>
      <c r="I10" s="47"/>
      <c r="J10" s="47"/>
      <c r="K10" s="46">
        <v>43707</v>
      </c>
      <c r="L10" s="46"/>
      <c r="M10" s="45"/>
      <c r="N10" s="45"/>
      <c r="O10" s="36" t="s">
        <v>51</v>
      </c>
      <c r="P10" s="37">
        <f t="shared" si="0"/>
        <v>219</v>
      </c>
      <c r="Q10" s="38">
        <f t="shared" si="1"/>
        <v>251</v>
      </c>
      <c r="R10" s="39">
        <v>1</v>
      </c>
      <c r="S10" s="40">
        <v>1</v>
      </c>
      <c r="T10" s="41">
        <f t="shared" si="2"/>
        <v>0</v>
      </c>
      <c r="U10" s="51">
        <f t="shared" si="3"/>
        <v>0</v>
      </c>
      <c r="V10" s="53"/>
    </row>
    <row r="11" spans="1:23" ht="57.6" x14ac:dyDescent="0.3">
      <c r="A11" s="36" t="s">
        <v>64</v>
      </c>
      <c r="B11" s="42" t="s">
        <v>65</v>
      </c>
      <c r="C11" s="45" t="s">
        <v>66</v>
      </c>
      <c r="D11" s="45" t="s">
        <v>0</v>
      </c>
      <c r="E11" s="45" t="s">
        <v>2</v>
      </c>
      <c r="F11" s="46">
        <v>43553</v>
      </c>
      <c r="G11" s="46"/>
      <c r="H11" s="47"/>
      <c r="I11" s="47"/>
      <c r="J11" s="47"/>
      <c r="K11" s="54">
        <v>43753</v>
      </c>
      <c r="L11" s="46"/>
      <c r="M11" s="45"/>
      <c r="N11" s="45"/>
      <c r="O11" s="45" t="s">
        <v>0</v>
      </c>
      <c r="P11" s="37">
        <f t="shared" si="0"/>
        <v>200</v>
      </c>
      <c r="Q11" s="45">
        <f t="shared" si="1"/>
        <v>186</v>
      </c>
      <c r="R11" s="45">
        <f>+(Q11)/P11</f>
        <v>0.93</v>
      </c>
      <c r="S11" s="50">
        <v>0.6</v>
      </c>
      <c r="T11" s="41">
        <f t="shared" si="2"/>
        <v>66.000000000000014</v>
      </c>
      <c r="U11" s="51">
        <f t="shared" si="3"/>
        <v>66.000000000000014</v>
      </c>
      <c r="V11" s="53"/>
    </row>
    <row r="12" spans="1:23" ht="28.8" x14ac:dyDescent="0.3">
      <c r="A12" s="36" t="s">
        <v>67</v>
      </c>
      <c r="B12" s="42" t="s">
        <v>68</v>
      </c>
      <c r="C12" s="45" t="s">
        <v>69</v>
      </c>
      <c r="D12" s="45" t="s">
        <v>58</v>
      </c>
      <c r="E12" s="45" t="s">
        <v>2</v>
      </c>
      <c r="F12" s="46">
        <v>43553</v>
      </c>
      <c r="G12" s="46"/>
      <c r="H12" s="47"/>
      <c r="I12" s="47"/>
      <c r="J12" s="47"/>
      <c r="K12" s="46">
        <v>43768</v>
      </c>
      <c r="L12" s="46"/>
      <c r="M12" s="45"/>
      <c r="N12" s="45"/>
      <c r="O12" s="45" t="s">
        <v>70</v>
      </c>
      <c r="P12" s="37">
        <f t="shared" si="0"/>
        <v>215</v>
      </c>
      <c r="Q12" s="45">
        <f t="shared" si="1"/>
        <v>186</v>
      </c>
      <c r="R12" s="45">
        <f>+(Q12)/P12</f>
        <v>0.8651162790697674</v>
      </c>
      <c r="S12" s="50">
        <v>0.2</v>
      </c>
      <c r="T12" s="41">
        <f t="shared" si="2"/>
        <v>142.99999999999997</v>
      </c>
      <c r="U12" s="51">
        <f t="shared" si="3"/>
        <v>142.99999999999997</v>
      </c>
      <c r="V12" s="53"/>
    </row>
    <row r="13" spans="1:23" ht="28.8" x14ac:dyDescent="0.3">
      <c r="A13" s="36" t="s">
        <v>74</v>
      </c>
      <c r="B13" s="42" t="s">
        <v>75</v>
      </c>
      <c r="C13" s="42" t="s">
        <v>76</v>
      </c>
      <c r="D13" s="45" t="s">
        <v>71</v>
      </c>
      <c r="E13" s="45" t="s">
        <v>1</v>
      </c>
      <c r="F13" s="46"/>
      <c r="G13" s="46"/>
      <c r="H13" s="47"/>
      <c r="I13" s="47"/>
      <c r="J13" s="47"/>
      <c r="K13" s="46"/>
      <c r="L13" s="46"/>
      <c r="M13" s="45"/>
      <c r="N13" s="45"/>
      <c r="O13" s="36" t="s">
        <v>42</v>
      </c>
      <c r="P13" s="37"/>
      <c r="Q13" s="45"/>
      <c r="R13" s="45"/>
      <c r="S13" s="45"/>
      <c r="T13" s="45"/>
      <c r="U13" s="42"/>
      <c r="V13" s="53"/>
    </row>
    <row r="14" spans="1:23" ht="57.6" x14ac:dyDescent="0.3">
      <c r="A14" s="36" t="s">
        <v>77</v>
      </c>
      <c r="B14" s="42" t="s">
        <v>78</v>
      </c>
      <c r="C14" s="42" t="s">
        <v>79</v>
      </c>
      <c r="D14" s="45" t="s">
        <v>71</v>
      </c>
      <c r="E14" s="45" t="s">
        <v>1</v>
      </c>
      <c r="F14" s="46"/>
      <c r="G14" s="46"/>
      <c r="H14" s="47"/>
      <c r="I14" s="47"/>
      <c r="J14" s="47"/>
      <c r="K14" s="46"/>
      <c r="L14" s="46"/>
      <c r="M14" s="45"/>
      <c r="N14" s="45"/>
      <c r="O14" s="36" t="s">
        <v>42</v>
      </c>
      <c r="P14" s="37"/>
      <c r="Q14" s="45"/>
      <c r="R14" s="45"/>
      <c r="S14" s="45"/>
      <c r="T14" s="45"/>
      <c r="U14" s="42"/>
      <c r="V14" s="53"/>
    </row>
    <row r="15" spans="1:23" ht="43.2" x14ac:dyDescent="0.3">
      <c r="A15" s="36" t="s">
        <v>80</v>
      </c>
      <c r="B15" s="42" t="s">
        <v>81</v>
      </c>
      <c r="C15" s="42" t="s">
        <v>82</v>
      </c>
      <c r="D15" s="45" t="s">
        <v>58</v>
      </c>
      <c r="E15" s="45" t="s">
        <v>83</v>
      </c>
      <c r="F15" s="46">
        <v>44013</v>
      </c>
      <c r="G15" s="46">
        <v>44075</v>
      </c>
      <c r="H15" s="47"/>
      <c r="I15" s="47"/>
      <c r="J15" s="47"/>
      <c r="K15" s="46">
        <v>44136</v>
      </c>
      <c r="L15" s="46"/>
      <c r="M15" s="45"/>
      <c r="N15" s="45"/>
      <c r="O15" s="36" t="s">
        <v>42</v>
      </c>
      <c r="P15" s="37"/>
      <c r="Q15" s="45"/>
      <c r="R15" s="45"/>
      <c r="S15" s="45"/>
      <c r="T15" s="45"/>
      <c r="U15" s="42"/>
      <c r="V15" s="53"/>
    </row>
    <row r="16" spans="1:23" ht="72" x14ac:dyDescent="0.3">
      <c r="A16" s="36" t="s">
        <v>84</v>
      </c>
      <c r="B16" s="42" t="s">
        <v>85</v>
      </c>
      <c r="C16" s="45" t="s">
        <v>86</v>
      </c>
      <c r="D16" s="45" t="s">
        <v>71</v>
      </c>
      <c r="E16" s="45" t="s">
        <v>3</v>
      </c>
      <c r="F16" s="46"/>
      <c r="G16" s="46"/>
      <c r="H16" s="47"/>
      <c r="I16" s="47"/>
      <c r="J16" s="47"/>
      <c r="K16" s="46"/>
      <c r="L16" s="46"/>
      <c r="M16" s="45"/>
      <c r="N16" s="45"/>
      <c r="O16" s="45" t="s">
        <v>72</v>
      </c>
      <c r="P16" s="37"/>
      <c r="Q16" s="45"/>
      <c r="R16" s="45"/>
      <c r="S16" s="45"/>
      <c r="T16" s="45"/>
      <c r="U16" s="42"/>
      <c r="V16" s="53"/>
    </row>
    <row r="17" spans="1:22" x14ac:dyDescent="0.3">
      <c r="A17" s="36" t="s">
        <v>87</v>
      </c>
      <c r="B17" s="42" t="s">
        <v>88</v>
      </c>
      <c r="C17" s="42" t="s">
        <v>89</v>
      </c>
      <c r="D17" s="45"/>
      <c r="E17" s="45"/>
      <c r="F17" s="46"/>
      <c r="G17" s="46"/>
      <c r="H17" s="47"/>
      <c r="I17" s="47"/>
      <c r="J17" s="47"/>
      <c r="K17" s="46"/>
      <c r="L17" s="46"/>
      <c r="M17" s="45"/>
      <c r="N17" s="45"/>
      <c r="O17" s="45"/>
      <c r="P17" s="37"/>
      <c r="Q17" s="45"/>
      <c r="R17" s="45"/>
      <c r="S17" s="45"/>
      <c r="T17" s="45"/>
      <c r="U17" s="42"/>
      <c r="V17" s="53"/>
    </row>
    <row r="18" spans="1:22" ht="28.8" x14ac:dyDescent="0.3">
      <c r="A18" s="36" t="s">
        <v>90</v>
      </c>
      <c r="B18" s="42" t="s">
        <v>91</v>
      </c>
      <c r="C18" s="42" t="s">
        <v>92</v>
      </c>
      <c r="D18" s="45" t="s">
        <v>71</v>
      </c>
      <c r="E18" s="45" t="s">
        <v>5</v>
      </c>
      <c r="F18" s="46">
        <v>44411</v>
      </c>
      <c r="G18" s="46"/>
      <c r="H18" s="47">
        <v>350</v>
      </c>
      <c r="I18" s="47">
        <f>[1]Diciembre!AL4+[1]Noviembre!AL7+[1]Octubre!AL24+[1]Octubre!AL22+[1]Agosto!AL22+[1]Agosto!AL4+[1]Julio!AL4+[1]Julio!AL23+[1]Junio!AL23+[1]Mayo!AL5+[1]Mayo!AL24+[1]Abril!AL6+[1]Marzo!AL4+[1]Marzo!AL5+[1]Febrero!AL4+[1]Enero!AL4+[2]Enero!AL4</f>
        <v>420.5</v>
      </c>
      <c r="J18" s="47">
        <f>'[3]Total x Rubro'!D2+[2]Abril!AL4</f>
        <v>136</v>
      </c>
      <c r="K18" s="46"/>
      <c r="L18" s="46"/>
      <c r="M18" s="45"/>
      <c r="N18" s="45"/>
      <c r="O18" s="45" t="s">
        <v>72</v>
      </c>
      <c r="P18" s="37"/>
      <c r="Q18" s="45"/>
      <c r="R18" s="45"/>
      <c r="S18" s="45"/>
      <c r="T18" s="45"/>
      <c r="U18" s="42"/>
      <c r="V18" s="53"/>
    </row>
    <row r="19" spans="1:22" ht="86.4" x14ac:dyDescent="0.3">
      <c r="A19" s="36" t="s">
        <v>93</v>
      </c>
      <c r="B19" s="42" t="s">
        <v>94</v>
      </c>
      <c r="C19" s="42" t="s">
        <v>95</v>
      </c>
      <c r="D19" s="45" t="s">
        <v>71</v>
      </c>
      <c r="E19" s="45" t="s">
        <v>1</v>
      </c>
      <c r="F19" s="46">
        <v>44417</v>
      </c>
      <c r="G19" s="46"/>
      <c r="H19" s="47">
        <v>400</v>
      </c>
      <c r="I19" s="47">
        <f>[4]Octubre!AL4+[4]Septiembre!AL4+[4]Agosto!AL4+[4]Julio!AL4+[5]Enero!AL4+[6]Octubre!AL4+[6]Noviembre!AL4+[6]Diciembre!AL4</f>
        <v>372.5</v>
      </c>
      <c r="J19" s="47"/>
      <c r="K19" s="46"/>
      <c r="L19" s="46"/>
      <c r="M19" s="45"/>
      <c r="N19" s="45"/>
      <c r="O19" s="45" t="s">
        <v>72</v>
      </c>
      <c r="P19" s="37"/>
      <c r="Q19" s="45"/>
      <c r="R19" s="45"/>
      <c r="S19" s="45"/>
      <c r="T19" s="45"/>
      <c r="U19" s="42"/>
      <c r="V19" s="53"/>
    </row>
    <row r="20" spans="1:22" ht="86.4" x14ac:dyDescent="0.3">
      <c r="A20" s="36" t="s">
        <v>96</v>
      </c>
      <c r="B20" s="42" t="s">
        <v>97</v>
      </c>
      <c r="C20" s="1" t="s">
        <v>98</v>
      </c>
      <c r="D20" s="45" t="s">
        <v>58</v>
      </c>
      <c r="E20" s="45" t="s">
        <v>99</v>
      </c>
      <c r="F20" s="46">
        <v>44461</v>
      </c>
      <c r="G20" s="46"/>
      <c r="H20" s="47"/>
      <c r="I20" s="47"/>
      <c r="J20" s="47"/>
      <c r="K20" s="46"/>
      <c r="L20" s="46"/>
      <c r="M20" s="45"/>
      <c r="N20" s="45"/>
      <c r="O20" s="36" t="s">
        <v>42</v>
      </c>
      <c r="P20" s="37"/>
      <c r="Q20" s="45"/>
      <c r="R20" s="45"/>
      <c r="S20" s="45"/>
      <c r="T20" s="45"/>
      <c r="U20" s="42"/>
      <c r="V20" s="53"/>
    </row>
    <row r="21" spans="1:22" ht="28.8" x14ac:dyDescent="0.3">
      <c r="A21" s="36" t="s">
        <v>100</v>
      </c>
      <c r="B21" s="42" t="s">
        <v>101</v>
      </c>
      <c r="C21" s="2" t="s">
        <v>102</v>
      </c>
      <c r="D21" s="45" t="s">
        <v>58</v>
      </c>
      <c r="E21" s="45" t="s">
        <v>4</v>
      </c>
      <c r="F21" s="46">
        <v>44609</v>
      </c>
      <c r="G21" s="46"/>
      <c r="H21" s="47"/>
      <c r="I21" s="47"/>
      <c r="J21" s="47"/>
      <c r="K21" s="46"/>
      <c r="L21" s="46"/>
      <c r="M21" s="45"/>
      <c r="N21" s="45"/>
      <c r="O21" s="45" t="s">
        <v>72</v>
      </c>
      <c r="P21" s="37"/>
      <c r="Q21" s="45"/>
      <c r="R21" s="45"/>
      <c r="S21" s="45"/>
      <c r="T21" s="45"/>
      <c r="U21" s="42"/>
      <c r="V21" s="53"/>
    </row>
    <row r="22" spans="1:22" ht="43.2" x14ac:dyDescent="0.3">
      <c r="A22" s="36" t="s">
        <v>103</v>
      </c>
      <c r="B22" s="42" t="s">
        <v>104</v>
      </c>
      <c r="C22" s="2" t="s">
        <v>105</v>
      </c>
      <c r="D22" s="45" t="s">
        <v>58</v>
      </c>
      <c r="E22" s="45" t="s">
        <v>106</v>
      </c>
      <c r="F22" s="46"/>
      <c r="G22" s="46"/>
      <c r="H22" s="47"/>
      <c r="I22" s="47"/>
      <c r="J22" s="47"/>
      <c r="K22" s="46"/>
      <c r="L22" s="46"/>
      <c r="M22" s="45"/>
      <c r="N22" s="45"/>
      <c r="O22" s="45" t="s">
        <v>73</v>
      </c>
      <c r="P22" s="37"/>
      <c r="Q22" s="45"/>
      <c r="R22" s="45"/>
      <c r="S22" s="45"/>
      <c r="T22" s="45"/>
      <c r="U22" s="42"/>
      <c r="V22" s="53"/>
    </row>
    <row r="23" spans="1:22" x14ac:dyDescent="0.3">
      <c r="A23" s="36" t="s">
        <v>107</v>
      </c>
      <c r="B23" s="42" t="s">
        <v>108</v>
      </c>
      <c r="C23" s="2" t="s">
        <v>109</v>
      </c>
      <c r="D23" s="45" t="s">
        <v>71</v>
      </c>
      <c r="E23" s="45" t="s">
        <v>110</v>
      </c>
      <c r="F23" s="46"/>
      <c r="G23" s="46"/>
      <c r="H23" s="47"/>
      <c r="I23" s="47"/>
      <c r="J23" s="47"/>
      <c r="K23" s="46"/>
      <c r="L23" s="46"/>
      <c r="M23" s="45"/>
      <c r="N23" s="45"/>
      <c r="O23" s="45"/>
      <c r="P23" s="37"/>
      <c r="Q23" s="45"/>
      <c r="R23" s="45"/>
      <c r="S23" s="45"/>
      <c r="T23" s="45"/>
      <c r="U23" s="42"/>
      <c r="V23" s="53"/>
    </row>
    <row r="24" spans="1:22" ht="28.8" x14ac:dyDescent="0.3">
      <c r="A24" s="36" t="s">
        <v>111</v>
      </c>
      <c r="B24" s="42" t="s">
        <v>112</v>
      </c>
      <c r="C24" s="6" t="s">
        <v>113</v>
      </c>
      <c r="D24" s="45" t="s">
        <v>71</v>
      </c>
      <c r="E24" s="45" t="s">
        <v>3</v>
      </c>
      <c r="F24" s="46"/>
      <c r="G24" s="46"/>
      <c r="H24" s="47"/>
      <c r="I24" s="47"/>
      <c r="J24" s="47"/>
      <c r="K24" s="46"/>
      <c r="L24" s="46"/>
      <c r="M24" s="45"/>
      <c r="N24" s="45"/>
      <c r="O24" s="36" t="s">
        <v>72</v>
      </c>
      <c r="P24" s="37"/>
      <c r="Q24" s="45"/>
      <c r="R24" s="45"/>
      <c r="S24" s="45"/>
      <c r="T24" s="45"/>
      <c r="U24" s="42"/>
      <c r="V24" s="53"/>
    </row>
    <row r="25" spans="1:22" x14ac:dyDescent="0.3">
      <c r="A25" s="36" t="s">
        <v>114</v>
      </c>
      <c r="B25" s="42" t="s">
        <v>115</v>
      </c>
      <c r="C25" s="6" t="s">
        <v>116</v>
      </c>
      <c r="D25" s="45" t="s">
        <v>58</v>
      </c>
      <c r="E25" s="45"/>
      <c r="F25" s="46"/>
      <c r="G25" s="46"/>
      <c r="H25" s="47"/>
      <c r="I25" s="47"/>
      <c r="J25" s="47"/>
      <c r="K25" s="46"/>
      <c r="L25" s="46"/>
      <c r="M25" s="45"/>
      <c r="N25" s="45"/>
      <c r="O25" s="36" t="s">
        <v>117</v>
      </c>
      <c r="P25" s="37"/>
      <c r="Q25" s="45"/>
      <c r="R25" s="45"/>
      <c r="S25" s="45"/>
      <c r="T25" s="45"/>
      <c r="U25" s="42"/>
      <c r="V25" s="53"/>
    </row>
    <row r="26" spans="1:22" x14ac:dyDescent="0.3">
      <c r="A26" s="36" t="s">
        <v>118</v>
      </c>
      <c r="B26" s="42" t="s">
        <v>119</v>
      </c>
      <c r="C26" s="6" t="s">
        <v>120</v>
      </c>
      <c r="D26" s="45" t="s">
        <v>0</v>
      </c>
      <c r="E26" s="45" t="s">
        <v>110</v>
      </c>
      <c r="F26" s="46"/>
      <c r="G26" s="46"/>
      <c r="H26" s="47"/>
      <c r="I26" s="47">
        <f>+[7]Enero!AL4+[7]Febrero!AL4+[7]Marzo!AL6+[7]Abril!AL5+[7]Mayo!AL5</f>
        <v>123.5</v>
      </c>
      <c r="J26" s="47"/>
      <c r="K26" s="46"/>
      <c r="L26" s="46"/>
      <c r="M26" s="45"/>
      <c r="N26" s="45"/>
      <c r="O26" s="36" t="s">
        <v>42</v>
      </c>
      <c r="P26" s="37"/>
      <c r="Q26" s="45"/>
      <c r="R26" s="45"/>
      <c r="S26" s="45"/>
      <c r="T26" s="45"/>
      <c r="U26" s="42"/>
      <c r="V26" s="53"/>
    </row>
    <row r="27" spans="1:22" ht="72" x14ac:dyDescent="0.3">
      <c r="A27" s="36" t="s">
        <v>121</v>
      </c>
      <c r="B27" s="42" t="s">
        <v>122</v>
      </c>
      <c r="C27" s="45" t="s">
        <v>86</v>
      </c>
      <c r="D27" s="45" t="s">
        <v>71</v>
      </c>
      <c r="E27" s="45" t="s">
        <v>3</v>
      </c>
      <c r="F27" s="46"/>
      <c r="G27" s="46"/>
      <c r="H27" s="47">
        <v>150</v>
      </c>
      <c r="I27" s="47">
        <f>+[8]Marzo!AL7+[8]Abril!AL5+[8]Mayo!AL5+[8]Junio!AL4+[8]Julio!AL5+[8]Agosto!AL5+[8]Septiembre!AL5+[8]Octubre!AL5+[8]Noviembre!AL4+[8]Diciembre!AL4</f>
        <v>144</v>
      </c>
      <c r="J27" s="47"/>
      <c r="K27" s="46"/>
      <c r="L27" s="46"/>
      <c r="M27" s="45"/>
      <c r="N27" s="45"/>
      <c r="O27" s="45" t="s">
        <v>50</v>
      </c>
      <c r="P27" s="37"/>
      <c r="Q27" s="45"/>
      <c r="R27" s="45"/>
      <c r="S27" s="45"/>
      <c r="T27" s="45"/>
      <c r="U27" s="42"/>
      <c r="V27" s="53"/>
    </row>
    <row r="28" spans="1:22" ht="43.2" x14ac:dyDescent="0.3">
      <c r="A28" s="36" t="s">
        <v>123</v>
      </c>
      <c r="B28" s="42" t="s">
        <v>124</v>
      </c>
      <c r="C28" s="45" t="s">
        <v>125</v>
      </c>
      <c r="D28" s="45" t="s">
        <v>58</v>
      </c>
      <c r="E28" s="45" t="s">
        <v>3</v>
      </c>
      <c r="F28" s="46">
        <v>45255</v>
      </c>
      <c r="G28" s="46"/>
      <c r="H28" s="47">
        <v>350</v>
      </c>
      <c r="I28" s="47">
        <f>+[8]Diciembre!AL6+[8]Noviembre!AL6</f>
        <v>31</v>
      </c>
      <c r="J28" s="47"/>
      <c r="K28" s="46"/>
      <c r="L28" s="46"/>
      <c r="M28" s="45"/>
      <c r="N28" s="45"/>
      <c r="O28" s="45" t="s">
        <v>126</v>
      </c>
      <c r="P28" s="37"/>
      <c r="Q28" s="45"/>
      <c r="R28" s="45"/>
      <c r="S28" s="45"/>
      <c r="T28" s="45"/>
      <c r="U28" s="42"/>
      <c r="V28" s="53"/>
    </row>
    <row r="29" spans="1:22" ht="43.2" x14ac:dyDescent="0.3">
      <c r="A29" s="36" t="s">
        <v>127</v>
      </c>
      <c r="B29" s="42" t="s">
        <v>128</v>
      </c>
      <c r="C29" s="45" t="s">
        <v>129</v>
      </c>
      <c r="D29" s="45" t="s">
        <v>58</v>
      </c>
      <c r="E29" s="45" t="s">
        <v>3</v>
      </c>
      <c r="F29" s="46">
        <v>45306</v>
      </c>
      <c r="G29" s="46"/>
      <c r="H29" s="47">
        <v>350</v>
      </c>
      <c r="I29" s="47"/>
      <c r="J29" s="47"/>
      <c r="K29" s="46"/>
      <c r="L29" s="46"/>
      <c r="M29" s="45"/>
      <c r="N29" s="45"/>
      <c r="O29" s="45" t="s">
        <v>126</v>
      </c>
      <c r="P29" s="37"/>
      <c r="Q29" s="45"/>
      <c r="R29" s="45"/>
      <c r="S29" s="45"/>
      <c r="T29" s="45"/>
      <c r="U29" s="42"/>
      <c r="V29" s="53"/>
    </row>
    <row r="30" spans="1:22" ht="28.8" x14ac:dyDescent="0.3">
      <c r="A30" s="36" t="s">
        <v>130</v>
      </c>
      <c r="B30" s="42" t="s">
        <v>131</v>
      </c>
      <c r="C30" s="45" t="s">
        <v>132</v>
      </c>
      <c r="D30" s="45" t="s">
        <v>58</v>
      </c>
      <c r="E30" s="45" t="s">
        <v>3</v>
      </c>
      <c r="F30" s="46">
        <v>45194</v>
      </c>
      <c r="G30" s="46"/>
      <c r="H30" s="47">
        <v>200</v>
      </c>
      <c r="I30" s="47">
        <f>+[8]Septiembre!AL6+[8]Octubre!AL6+[8]Noviembre!AL5+[8]Diciembre!AL5</f>
        <v>91</v>
      </c>
      <c r="J30" s="47"/>
      <c r="K30" s="46"/>
      <c r="L30" s="46"/>
      <c r="M30" s="45"/>
      <c r="N30" s="45"/>
      <c r="O30" s="45" t="s">
        <v>126</v>
      </c>
      <c r="P30" s="37"/>
      <c r="Q30" s="45"/>
      <c r="R30" s="45"/>
      <c r="S30" s="45"/>
      <c r="T30" s="45"/>
      <c r="U30" s="42"/>
      <c r="V30" s="53"/>
    </row>
    <row r="31" spans="1:22" ht="43.2" x14ac:dyDescent="0.3">
      <c r="A31" s="36" t="s">
        <v>133</v>
      </c>
      <c r="B31" s="42" t="s">
        <v>153</v>
      </c>
      <c r="C31" s="45" t="s">
        <v>154</v>
      </c>
      <c r="D31" s="45" t="s">
        <v>58</v>
      </c>
      <c r="E31" s="45" t="s">
        <v>5</v>
      </c>
      <c r="F31" s="46">
        <v>45141</v>
      </c>
      <c r="G31" s="46"/>
      <c r="H31" s="47"/>
      <c r="I31" s="47"/>
      <c r="J31" s="47"/>
      <c r="K31" s="46"/>
      <c r="L31" s="46"/>
      <c r="M31" s="45"/>
      <c r="N31" s="45"/>
      <c r="O31" s="45"/>
      <c r="P31" s="37"/>
      <c r="Q31" s="45"/>
      <c r="R31" s="45"/>
      <c r="S31" s="45"/>
      <c r="T31" s="45"/>
      <c r="U31" s="42"/>
      <c r="V31" s="53"/>
    </row>
    <row r="32" spans="1:22" ht="28.8" x14ac:dyDescent="0.3">
      <c r="A32" s="36" t="s">
        <v>134</v>
      </c>
      <c r="B32" s="42" t="s">
        <v>135</v>
      </c>
      <c r="C32" s="45" t="s">
        <v>136</v>
      </c>
      <c r="D32" s="45" t="s">
        <v>58</v>
      </c>
      <c r="E32" s="45" t="s">
        <v>5</v>
      </c>
      <c r="F32" s="46">
        <v>45064</v>
      </c>
      <c r="G32" s="46"/>
      <c r="H32" s="47"/>
      <c r="I32" s="47"/>
      <c r="J32" s="47"/>
      <c r="K32" s="46"/>
      <c r="L32" s="46"/>
      <c r="M32" s="45"/>
      <c r="N32" s="45"/>
      <c r="O32" s="45"/>
      <c r="P32" s="37"/>
      <c r="Q32" s="45"/>
      <c r="R32" s="45"/>
      <c r="S32" s="45"/>
      <c r="T32" s="45"/>
      <c r="U32" s="42"/>
      <c r="V32" s="53"/>
    </row>
    <row r="33" spans="1:22" ht="28.8" x14ac:dyDescent="0.3">
      <c r="A33" s="36" t="s">
        <v>137</v>
      </c>
      <c r="B33" s="42" t="s">
        <v>138</v>
      </c>
      <c r="C33" s="45" t="s">
        <v>139</v>
      </c>
      <c r="D33" s="45" t="s">
        <v>58</v>
      </c>
      <c r="E33" s="45" t="s">
        <v>5</v>
      </c>
      <c r="F33" s="46">
        <v>45560</v>
      </c>
      <c r="G33" s="46"/>
      <c r="H33" s="47"/>
      <c r="I33" s="47"/>
      <c r="J33" s="47"/>
      <c r="K33" s="46"/>
      <c r="L33" s="46"/>
      <c r="M33" s="45"/>
      <c r="N33" s="45"/>
      <c r="O33" s="45"/>
      <c r="P33" s="37"/>
      <c r="Q33" s="45"/>
      <c r="R33" s="45"/>
      <c r="S33" s="45"/>
      <c r="T33" s="45"/>
      <c r="U33" s="42"/>
      <c r="V33" s="53"/>
    </row>
    <row r="34" spans="1:22" x14ac:dyDescent="0.3">
      <c r="A34" s="36" t="s">
        <v>140</v>
      </c>
      <c r="B34" s="42" t="s">
        <v>141</v>
      </c>
      <c r="C34" s="45" t="s">
        <v>142</v>
      </c>
      <c r="D34" s="45" t="s">
        <v>143</v>
      </c>
      <c r="E34" s="45" t="s">
        <v>5</v>
      </c>
      <c r="F34" s="46">
        <v>45740</v>
      </c>
      <c r="G34" s="46"/>
      <c r="H34" s="47"/>
      <c r="I34" s="47"/>
      <c r="J34" s="47"/>
      <c r="K34" s="46"/>
      <c r="L34" s="46"/>
      <c r="M34" s="45"/>
      <c r="N34" s="45"/>
      <c r="O34" s="45"/>
      <c r="P34" s="37"/>
      <c r="Q34" s="45"/>
      <c r="R34" s="45"/>
      <c r="S34" s="45"/>
      <c r="T34" s="45"/>
      <c r="U34" s="42"/>
      <c r="V34" s="53"/>
    </row>
    <row r="35" spans="1:22" ht="28.8" x14ac:dyDescent="0.3">
      <c r="A35" s="36" t="s">
        <v>144</v>
      </c>
      <c r="B35" s="42" t="s">
        <v>145</v>
      </c>
      <c r="C35" s="45" t="s">
        <v>146</v>
      </c>
      <c r="D35" s="45" t="s">
        <v>143</v>
      </c>
      <c r="E35" s="45" t="s">
        <v>3</v>
      </c>
      <c r="F35" s="46">
        <v>45767</v>
      </c>
      <c r="G35" s="46"/>
      <c r="H35" s="47"/>
      <c r="I35" s="47"/>
      <c r="J35" s="47"/>
      <c r="K35" s="46"/>
      <c r="L35" s="46"/>
      <c r="M35" s="45"/>
      <c r="N35" s="45"/>
      <c r="O35" s="45"/>
      <c r="P35" s="37"/>
      <c r="Q35" s="45"/>
      <c r="R35" s="45"/>
      <c r="S35" s="45"/>
      <c r="T35" s="45"/>
      <c r="U35" s="42"/>
      <c r="V35" s="53"/>
    </row>
    <row r="36" spans="1:22" ht="28.8" x14ac:dyDescent="0.3">
      <c r="A36" s="36" t="s">
        <v>147</v>
      </c>
      <c r="B36" s="42" t="s">
        <v>148</v>
      </c>
      <c r="C36" s="45" t="s">
        <v>149</v>
      </c>
      <c r="D36" s="45" t="s">
        <v>143</v>
      </c>
      <c r="E36" s="45" t="s">
        <v>99</v>
      </c>
      <c r="F36" s="46">
        <v>45868</v>
      </c>
      <c r="G36" s="46"/>
      <c r="H36" s="47"/>
      <c r="I36" s="47"/>
      <c r="J36" s="47"/>
      <c r="K36" s="46"/>
      <c r="L36" s="46"/>
      <c r="M36" s="45"/>
      <c r="N36" s="45"/>
      <c r="O36" s="45"/>
      <c r="P36" s="37"/>
      <c r="Q36" s="45"/>
      <c r="R36" s="45"/>
      <c r="S36" s="45"/>
      <c r="T36" s="45"/>
      <c r="U36" s="42"/>
      <c r="V36" s="53"/>
    </row>
    <row r="37" spans="1:22" x14ac:dyDescent="0.3">
      <c r="A37" s="36" t="s">
        <v>150</v>
      </c>
      <c r="B37" s="42" t="s">
        <v>151</v>
      </c>
      <c r="C37" s="45" t="s">
        <v>152</v>
      </c>
      <c r="D37" s="45"/>
      <c r="E37" s="45"/>
      <c r="F37" s="46"/>
      <c r="G37" s="46"/>
      <c r="H37" s="47"/>
      <c r="I37" s="47"/>
      <c r="J37" s="47"/>
      <c r="K37" s="46"/>
      <c r="L37" s="46"/>
      <c r="M37" s="45"/>
      <c r="N37" s="45"/>
      <c r="O37" s="45"/>
      <c r="P37" s="37"/>
      <c r="Q37" s="45"/>
      <c r="R37" s="45"/>
      <c r="S37" s="45"/>
      <c r="T37" s="45"/>
      <c r="U37" s="42"/>
      <c r="V37" s="53"/>
    </row>
    <row r="38" spans="1:22" x14ac:dyDescent="0.3">
      <c r="A38" s="36" t="s">
        <v>155</v>
      </c>
      <c r="B38" s="42" t="s">
        <v>156</v>
      </c>
      <c r="C38" s="45" t="s">
        <v>157</v>
      </c>
      <c r="D38" s="45"/>
      <c r="E38" s="45"/>
      <c r="F38" s="46"/>
      <c r="G38" s="46"/>
      <c r="H38" s="47"/>
      <c r="I38" s="47"/>
      <c r="J38" s="47"/>
      <c r="K38" s="46"/>
      <c r="L38" s="46"/>
      <c r="M38" s="45"/>
      <c r="N38" s="45"/>
      <c r="O38" s="45"/>
      <c r="P38" s="37"/>
      <c r="Q38" s="45"/>
      <c r="R38" s="45"/>
      <c r="S38" s="45"/>
      <c r="T38" s="45"/>
      <c r="U38" s="42"/>
      <c r="V38" s="53"/>
    </row>
  </sheetData>
  <mergeCells count="6">
    <mergeCell ref="A1:A2"/>
    <mergeCell ref="B1:N1"/>
    <mergeCell ref="B2:N2"/>
    <mergeCell ref="B3:N3"/>
    <mergeCell ref="A4:B4"/>
    <mergeCell ref="C4:N4"/>
  </mergeCells>
  <phoneticPr fontId="12" type="noConversion"/>
  <dataValidations count="1">
    <dataValidation allowBlank="1" showErrorMessage="1" sqref="A3" xr:uid="{00000000-0002-0000-0100-000000000000}">
      <formula1>0</formula1>
      <formula2>0</formula2>
    </dataValidation>
  </dataValidations>
  <pageMargins left="0.35" right="0" top="0.23611111111111099" bottom="0.15763888888888899" header="0.511811023622047" footer="0.511811023622047"/>
  <pageSetup paperSize="9" fitToHeight="2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34746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PROYECTOS</vt:lpstr>
      <vt:lpstr>PROYECTOS!Área_de_impresión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mipereyra</dc:creator>
  <dc:description/>
  <cp:lastModifiedBy>Tomas Del Bo</cp:lastModifiedBy>
  <cp:revision>32</cp:revision>
  <cp:lastPrinted>2024-06-06T08:33:03Z</cp:lastPrinted>
  <dcterms:created xsi:type="dcterms:W3CDTF">2017-04-10T14:14:24Z</dcterms:created>
  <dcterms:modified xsi:type="dcterms:W3CDTF">2025-11-09T12:53:14Z</dcterms:modified>
  <dc:language>es-AR</dc:language>
</cp:coreProperties>
</file>