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Maestria en Ciencias de Datos\Analisis inteligente de datos\TP Final\TP Final AID Del Bo\trabajo-final-tomasdelbo\datos_crudos\SM-DT-SMF - Solicitudes_Modificación\"/>
    </mc:Choice>
  </mc:AlternateContent>
  <xr:revisionPtr revIDLastSave="0" documentId="13_ncr:1_{AE69A020-3FFD-4B9F-BC1F-B688BFE88AD0}" xr6:coauthVersionLast="47" xr6:coauthVersionMax="47" xr10:uidLastSave="{00000000-0000-0000-0000-000000000000}"/>
  <bookViews>
    <workbookView xWindow="-108" yWindow="-108" windowWidth="23256" windowHeight="12456" tabRatio="832" xr2:uid="{00000000-000D-0000-FFFF-FFFF00000000}"/>
  </bookViews>
  <sheets>
    <sheet name="N_SMF2025" sheetId="14" r:id="rId1"/>
    <sheet name="N_SMF2024" sheetId="1" r:id="rId2"/>
    <sheet name="N_SMF2023" sheetId="2" r:id="rId3"/>
    <sheet name="N_SMF2022" sheetId="3" r:id="rId4"/>
    <sheet name="N_SMF2021" sheetId="4" r:id="rId5"/>
  </sheets>
  <definedNames>
    <definedName name="__xlnm__FilterDatabase" localSheetId="4">N_SMF2021!$A$6:$N$215</definedName>
    <definedName name="__xlnm__FilterDatabase" localSheetId="3">N_SMF2022!$A$6:$N$103</definedName>
    <definedName name="__xlnm__FilterDatabase" localSheetId="2">N_SMF2023!$A$6:$N$43</definedName>
    <definedName name="__xlnm__FilterDatabase" localSheetId="1">N_SMF2024!$A$6:$N$44</definedName>
    <definedName name="__xlnm__FilterDatabase" localSheetId="0">N_SMF2025!$A$6:$N$6</definedName>
    <definedName name="__xlnm__FilterDatabase_0" localSheetId="4">N_SMF2021!$A$6:$N$215</definedName>
    <definedName name="__xlnm__FilterDatabase_0" localSheetId="3">N_SMF2022!$A$6:$N$103</definedName>
    <definedName name="__xlnm__FilterDatabase_0" localSheetId="2">N_SMF2023!$A$6:$N$43</definedName>
    <definedName name="__xlnm__FilterDatabase_0" localSheetId="1">N_SMF2024!$A$6:$N$44</definedName>
    <definedName name="__xlnm__FilterDatabase_0" localSheetId="0">N_SMF2025!$A$6:$N$6</definedName>
    <definedName name="__xlnm__FilterDatabase_0_0" localSheetId="4">N_SMF2021!$A$6:$N$215</definedName>
    <definedName name="__xlnm__FilterDatabase_0_0" localSheetId="3">N_SMF2022!$A$6:$N$103</definedName>
    <definedName name="__xlnm__FilterDatabase_0_0" localSheetId="2">N_SMF2023!$A$6:$N$43</definedName>
    <definedName name="__xlnm__FilterDatabase_0_0" localSheetId="1">N_SMF2024!$A$6:$N$44</definedName>
    <definedName name="__xlnm__FilterDatabase_0_0" localSheetId="0">N_SMF2025!$A$6:$N$6</definedName>
    <definedName name="__xlnm__FilterDatabase_0_0_0" localSheetId="4">N_SMF2021!$A$6:$N$215</definedName>
    <definedName name="__xlnm__FilterDatabase_0_0_0" localSheetId="3">N_SMF2022!$A$6:$N$103</definedName>
    <definedName name="__xlnm__FilterDatabase_0_0_0" localSheetId="2">N_SMF2023!$A$6:$N$43</definedName>
    <definedName name="__xlnm__FilterDatabase_0_0_0" localSheetId="1">N_SMF2024!$A$6:$N$44</definedName>
    <definedName name="__xlnm__FilterDatabase_0_0_0" localSheetId="0">N_SMF2025!$A$6:$N$6</definedName>
    <definedName name="__xlnm__FilterDatabase_0_0_0_0" localSheetId="4">N_SMF2021!$A$6:$N$215</definedName>
    <definedName name="__xlnm__FilterDatabase_0_0_0_0" localSheetId="3">N_SMF2022!$A$6:$N$103</definedName>
    <definedName name="__xlnm__FilterDatabase_0_0_0_0" localSheetId="2">N_SMF2023!$A$6:$N$43</definedName>
    <definedName name="__xlnm__FilterDatabase_0_0_0_0" localSheetId="1">N_SMF2024!$A$6:$N$44</definedName>
    <definedName name="__xlnm__FilterDatabase_0_0_0_0" localSheetId="0">N_SMF2025!$A$6:$N$6</definedName>
    <definedName name="__xlnm__FilterDatabase_0_0_0_0_0" localSheetId="4">N_SMF2021!$A$6:$N$215</definedName>
    <definedName name="__xlnm__FilterDatabase_0_0_0_0_0" localSheetId="3">N_SMF2022!$A$6:$N$103</definedName>
    <definedName name="__xlnm__FilterDatabase_0_0_0_0_0" localSheetId="2">N_SMF2023!$A$6:$N$43</definedName>
    <definedName name="__xlnm__FilterDatabase_0_0_0_0_0" localSheetId="1">N_SMF2024!$A$6:$N$44</definedName>
    <definedName name="__xlnm__FilterDatabase_0_0_0_0_0" localSheetId="0">N_SMF2025!$A$6:$N$6</definedName>
    <definedName name="__xlnm__FilterDatabase_0_0_0_0_0_0" localSheetId="4">N_SMF2021!$A$6:$N$215</definedName>
    <definedName name="__xlnm__FilterDatabase_0_0_0_0_0_0" localSheetId="3">N_SMF2022!$A$6:$N$103</definedName>
    <definedName name="__xlnm__FilterDatabase_0_0_0_0_0_0" localSheetId="2">N_SMF2023!$A$6:$N$43</definedName>
    <definedName name="__xlnm__FilterDatabase_0_0_0_0_0_0" localSheetId="1">N_SMF2024!$A$6:$N$44</definedName>
    <definedName name="__xlnm__FilterDatabase_0_0_0_0_0_0" localSheetId="0">N_SMF2025!$A$6:$N$6</definedName>
    <definedName name="__xlnm__FilterDatabase_0_0_0_0_0_0_0" localSheetId="4">N_SMF2021!$A$6:$N$215</definedName>
    <definedName name="__xlnm__FilterDatabase_0_0_0_0_0_0_0" localSheetId="3">N_SMF2022!$A$6:$N$103</definedName>
    <definedName name="__xlnm__FilterDatabase_0_0_0_0_0_0_0" localSheetId="2">N_SMF2023!$A$6:$N$43</definedName>
    <definedName name="__xlnm__FilterDatabase_0_0_0_0_0_0_0" localSheetId="1">N_SMF2024!$A$6:$N$44</definedName>
    <definedName name="__xlnm__FilterDatabase_0_0_0_0_0_0_0" localSheetId="0">N_SMF2025!$A$6:$N$6</definedName>
    <definedName name="__xlnm__FilterDatabase_0_0_0_0_0_0_0_0" localSheetId="4">N_SMF2021!$A$6:$N$215</definedName>
    <definedName name="__xlnm__FilterDatabase_0_0_0_0_0_0_0_0" localSheetId="3">N_SMF2022!$A$6:$N$103</definedName>
    <definedName name="__xlnm__FilterDatabase_0_0_0_0_0_0_0_0" localSheetId="2">N_SMF2023!$A$6:$N$43</definedName>
    <definedName name="__xlnm__FilterDatabase_0_0_0_0_0_0_0_0" localSheetId="1">N_SMF2024!$A$6:$N$44</definedName>
    <definedName name="__xlnm__FilterDatabase_0_0_0_0_0_0_0_0" localSheetId="0">N_SMF2025!$A$6:$N$6</definedName>
    <definedName name="__xlnm__FilterDatabase_0_0_0_0_0_0_0_0_0" localSheetId="4">N_SMF2021!$A$6:$N$215</definedName>
    <definedName name="__xlnm__FilterDatabase_0_0_0_0_0_0_0_0_0" localSheetId="3">N_SMF2022!$A$6:$N$103</definedName>
    <definedName name="__xlnm__FilterDatabase_0_0_0_0_0_0_0_0_0" localSheetId="2">N_SMF2023!$A$6:$N$43</definedName>
    <definedName name="__xlnm__FilterDatabase_0_0_0_0_0_0_0_0_0" localSheetId="1">N_SMF2024!$A$6:$N$44</definedName>
    <definedName name="__xlnm__FilterDatabase_0_0_0_0_0_0_0_0_0" localSheetId="0">N_SMF2025!$A$6:$N$6</definedName>
    <definedName name="__xlnm__FilterDatabase_0_0_0_0_0_0_0_0_0_0" localSheetId="4">N_SMF2021!$A$6:$N$215</definedName>
    <definedName name="__xlnm__FilterDatabase_0_0_0_0_0_0_0_0_0_0" localSheetId="3">N_SMF2022!$A$6:$N$103</definedName>
    <definedName name="__xlnm__FilterDatabase_0_0_0_0_0_0_0_0_0_0" localSheetId="2">N_SMF2023!$A$6:$N$43</definedName>
    <definedName name="__xlnm__FilterDatabase_0_0_0_0_0_0_0_0_0_0" localSheetId="1">N_SMF2024!$A$6:$N$44</definedName>
    <definedName name="__xlnm__FilterDatabase_0_0_0_0_0_0_0_0_0_0" localSheetId="0">N_SMF2025!$A$6:$N$6</definedName>
    <definedName name="_xlnm._FilterDatabase" localSheetId="4" hidden="1">N_SMF2021!$A$5:$N$217</definedName>
    <definedName name="_xlnm._FilterDatabase" localSheetId="3" hidden="1">N_SMF2022!$A$5:$N$105</definedName>
    <definedName name="_xlnm._FilterDatabase" localSheetId="2" hidden="1">N_SMF2023!$A$5:$N$73</definedName>
    <definedName name="_xlnm._FilterDatabase" localSheetId="1" hidden="1">N_SMF2024!$A$5:$N$68</definedName>
    <definedName name="_xlnm._FilterDatabase" localSheetId="0" hidden="1">N_SMF2025!$A$5:$N$6</definedName>
    <definedName name="_FilterDatabase_0" localSheetId="4">N_SMF2021!$A$6:$N$215</definedName>
    <definedName name="_FilterDatabase_0" localSheetId="3">N_SMF2022!$A$6:$N$103</definedName>
    <definedName name="_FilterDatabase_0" localSheetId="2">N_SMF2023!$A$6:$N$43</definedName>
    <definedName name="_FilterDatabase_0" localSheetId="1">N_SMF2024!$A$6:$N$44</definedName>
    <definedName name="_FilterDatabase_0" localSheetId="0">N_SMF2025!$A$6:$N$6</definedName>
    <definedName name="Excel_BuiltIn__FilterDatabase" localSheetId="4">N_SMF2021!$A$5:$M$215</definedName>
    <definedName name="Excel_BuiltIn__FilterDatabase" localSheetId="3">N_SMF2022!$A$5:$M$103</definedName>
    <definedName name="Excel_BuiltIn__FilterDatabase" localSheetId="2">N_SMF2023!$A$5:$M$43</definedName>
    <definedName name="Excel_BuiltIn__FilterDatabase" localSheetId="1">N_SMF2024!$A$5:$M$44</definedName>
    <definedName name="Excel_BuiltIn__FilterDatabase" localSheetId="0">N_SMF2025!$A$5:$M$6</definedName>
  </definedNames>
  <calcPr calcId="18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56" i="1" l="1"/>
  <c r="M34" i="1"/>
  <c r="M16" i="14"/>
  <c r="M9" i="14"/>
  <c r="K103" i="4"/>
  <c r="M94" i="4"/>
  <c r="M92" i="4"/>
  <c r="K90" i="4"/>
  <c r="K72" i="4"/>
  <c r="K65" i="4"/>
  <c r="M65" i="4" s="1"/>
  <c r="M58" i="4"/>
  <c r="M48" i="4"/>
  <c r="M32" i="4"/>
  <c r="M8" i="4"/>
  <c r="M55" i="3"/>
  <c r="K55" i="3" s="1"/>
  <c r="K18" i="3"/>
  <c r="K12" i="3"/>
  <c r="M11" i="3"/>
  <c r="K10" i="3"/>
  <c r="M58" i="2"/>
  <c r="L44" i="2"/>
  <c r="M44" i="2" s="1"/>
  <c r="M39" i="2"/>
  <c r="K39" i="2" s="1"/>
  <c r="M35" i="2"/>
  <c r="K32" i="2"/>
  <c r="M18" i="2"/>
  <c r="L18" i="2"/>
  <c r="M13" i="2"/>
  <c r="K28" i="1"/>
  <c r="M28" i="1" s="1"/>
  <c r="K27" i="1"/>
  <c r="M27" i="1" s="1"/>
  <c r="K15" i="1"/>
  <c r="M15" i="1" s="1"/>
  <c r="K18" i="2" l="1"/>
</calcChain>
</file>

<file path=xl/sharedStrings.xml><?xml version="1.0" encoding="utf-8"?>
<sst xmlns="http://schemas.openxmlformats.org/spreadsheetml/2006/main" count="3268" uniqueCount="976">
  <si>
    <t>REGISTRO DE AREA</t>
  </si>
  <si>
    <t>SOLICITUD SM-DT-SMF</t>
  </si>
  <si>
    <t>S.G.C.</t>
  </si>
  <si>
    <t>PLANILLA DE REGISTROS</t>
  </si>
  <si>
    <t>Vigencia 10/03/2016</t>
  </si>
  <si>
    <t>RS-ING-02</t>
  </si>
  <si>
    <t>TIPO DE SOLICITUD</t>
  </si>
  <si>
    <t>Nº SOLICITUD</t>
  </si>
  <si>
    <t>FECHA REAL SOLICITUD</t>
  </si>
  <si>
    <t>SOLICITANTE</t>
  </si>
  <si>
    <t>CLASIFICACION DE SOLICITUD</t>
  </si>
  <si>
    <t>SOLICITUD-DETALLE</t>
  </si>
  <si>
    <t>FAMILIA EQUIPOS AFECTADOS</t>
  </si>
  <si>
    <t>EQUIPOS AFECTADOS</t>
  </si>
  <si>
    <t>FECHA RESOLUCION</t>
  </si>
  <si>
    <t>RESUELTA POR</t>
  </si>
  <si>
    <t>AHORRO POR CAMBIO (POR UNIDAD)</t>
  </si>
  <si>
    <t>CANTIDAD EQUIPOS AFECTADOS X 12 MESES
(PRESUPUESTO DE VENTAS ANUAL)</t>
  </si>
  <si>
    <t>AHORRO ANUALIZADO</t>
  </si>
  <si>
    <t>FECHA ESTIMADA IMPLEMENTACION (OC / OP / OT)</t>
  </si>
  <si>
    <t>SMF</t>
  </si>
  <si>
    <t>S-1279</t>
  </si>
  <si>
    <t>PRODUCCION</t>
  </si>
  <si>
    <t>CORRECCION</t>
  </si>
  <si>
    <t>CORRECCION DE FORMULA EN LONAS ENGRANPADAS</t>
  </si>
  <si>
    <t>GENERAL</t>
  </si>
  <si>
    <t>MÁQUINAS Y HORNOS BIO</t>
  </si>
  <si>
    <t>DEL BO</t>
  </si>
  <si>
    <t>PROYECTISTA</t>
  </si>
  <si>
    <t>SM</t>
  </si>
  <si>
    <t>S-1280</t>
  </si>
  <si>
    <t>GCIA.GRAL.</t>
  </si>
  <si>
    <t>GRABADO LASER 75 AÑOS ARGENTAL</t>
  </si>
  <si>
    <t>MAQUINAS Y HORNOS</t>
  </si>
  <si>
    <t>TAMONE</t>
  </si>
  <si>
    <t>ABASTECIMIENTO</t>
  </si>
  <si>
    <t>NECESIDAD URG</t>
  </si>
  <si>
    <t xml:space="preserve">AMASADORAS </t>
  </si>
  <si>
    <t>S-1281</t>
  </si>
  <si>
    <t>MODIFICACIONES EN CAMARAS Y HORNOS</t>
  </si>
  <si>
    <t>CÁMARAS Y HORNOS 960/472</t>
  </si>
  <si>
    <t>DUTRUEL</t>
  </si>
  <si>
    <t>DT</t>
  </si>
  <si>
    <t>COMPRAS</t>
  </si>
  <si>
    <t>MEJORA COSTO</t>
  </si>
  <si>
    <t>BOLLERA BHC</t>
  </si>
  <si>
    <t>S-1282</t>
  </si>
  <si>
    <t>MEJORA CALIDAD</t>
  </si>
  <si>
    <t>REPROCESO DE LUMINARIA EN HORNOS</t>
  </si>
  <si>
    <t xml:space="preserve">HORNOS ROTATIVOS  </t>
  </si>
  <si>
    <t>HORNOS 960/472/315/PA240</t>
  </si>
  <si>
    <t>LRODRIGUEZ</t>
  </si>
  <si>
    <t>BETTI</t>
  </si>
  <si>
    <t>MATERIALES</t>
  </si>
  <si>
    <t>CORBOL</t>
  </si>
  <si>
    <t>S-1283</t>
  </si>
  <si>
    <t>INGENIERIA</t>
  </si>
  <si>
    <t>REUBICACIÓN DE ENGRANAJES DE CORBOL</t>
  </si>
  <si>
    <t>MAQUINAS MOD.</t>
  </si>
  <si>
    <t>DIVISORAS</t>
  </si>
  <si>
    <t>S-1284</t>
  </si>
  <si>
    <t>CALIDAD</t>
  </si>
  <si>
    <t>CORRECCION DE TOLERANCIAS - AMB029 Y BL</t>
  </si>
  <si>
    <t>AMB-029 Y SOBADORA BL</t>
  </si>
  <si>
    <t>MASETRO</t>
  </si>
  <si>
    <t>S-1285</t>
  </si>
  <si>
    <t>INCORPORACIÓN DE TORNILLO 101474x22 EN CABEZALES ARMADORES</t>
  </si>
  <si>
    <t>MAZINO</t>
  </si>
  <si>
    <t>ELECTRICIDAD</t>
  </si>
  <si>
    <t>DOCUMENTACION</t>
  </si>
  <si>
    <t>ELB</t>
  </si>
  <si>
    <t>S-1286</t>
  </si>
  <si>
    <t>CORRECCION DE DISEÑOS, MEJORAS Y ACTUALIZACION DE PLANTILLAS DE PIEZAS DE HORNOS ROTATIVOS</t>
  </si>
  <si>
    <t>FE 4,0-472/FE II-472/PA-240/FE III-960</t>
  </si>
  <si>
    <t>MONTRASI</t>
  </si>
  <si>
    <t>PERALTA</t>
  </si>
  <si>
    <t>DESPACHO</t>
  </si>
  <si>
    <t>DEVOLUCION</t>
  </si>
  <si>
    <t>FDP</t>
  </si>
  <si>
    <t>S-1287</t>
  </si>
  <si>
    <t>ELIMINACIÓN DE GUARDAMOTORES Y GABINETES PLÁSTICOS</t>
  </si>
  <si>
    <t>S-1288</t>
  </si>
  <si>
    <t xml:space="preserve">INCORPORACIÓN DE AGUJEROS EN TAPA FIJA SGAU </t>
  </si>
  <si>
    <t xml:space="preserve">SGAU BAKERY - NR </t>
  </si>
  <si>
    <t>EMBALAJE</t>
  </si>
  <si>
    <t>S-1289</t>
  </si>
  <si>
    <t>UNIFICACION DE BURLETES EN HORNOS Y CAMARAS</t>
  </si>
  <si>
    <t>Hornos y Camaras</t>
  </si>
  <si>
    <t>SOBADORAS</t>
  </si>
  <si>
    <t>S-1290</t>
  </si>
  <si>
    <t>CORRECCIONES VARIAS PA290</t>
  </si>
  <si>
    <t xml:space="preserve">HORNOS </t>
  </si>
  <si>
    <t>AT.AL CLIENTE</t>
  </si>
  <si>
    <t>DESCANSADORAS</t>
  </si>
  <si>
    <t>S-1291</t>
  </si>
  <si>
    <t xml:space="preserve">SE AGREGAN AGUJEROS PARA LOCALIZAR Y FIJAR CON ESPINAS ELASTICAS LA PIEZA EN LAS GEPN </t>
  </si>
  <si>
    <t>EU2C y GEPN</t>
  </si>
  <si>
    <t xml:space="preserve">CAMARAS FERM. </t>
  </si>
  <si>
    <t>S-1292</t>
  </si>
  <si>
    <t>SE AGREGA INSUMO FALTANTE EN FÓRMULAS DE CORBOL - CIERRE TAPA DERECHA</t>
  </si>
  <si>
    <t>HORNOS CICLOTER.</t>
  </si>
  <si>
    <t>S-1293</t>
  </si>
  <si>
    <t>SE PIDE CORREGIR EL ANCHO DE LAS PROTECCIONES DEL CAB CORTADOR - EU2C</t>
  </si>
  <si>
    <t>EU2C</t>
  </si>
  <si>
    <t>VENTAS</t>
  </si>
  <si>
    <t>HORNOS ESTATICOS</t>
  </si>
  <si>
    <t>S-1294</t>
  </si>
  <si>
    <t>MEJORAS VARIAS EN MÁQ. MODULARES</t>
  </si>
  <si>
    <t>COM.EXT.</t>
  </si>
  <si>
    <t>S-1295</t>
  </si>
  <si>
    <t>MEJORAS EN PIEZAS, TRATAMIENTO SUPERFICIAL</t>
  </si>
  <si>
    <t>AMBRO</t>
  </si>
  <si>
    <t>MARKETING</t>
  </si>
  <si>
    <t xml:space="preserve">MAQ. COMPRADAS </t>
  </si>
  <si>
    <t>S-1296</t>
  </si>
  <si>
    <t>SE CAMBIAN MATERIAL PRIMA PARA MEJORA DE COSTOS Y PARA UTILIZAR RODAMIENTOS EN LUGAR DE BUJES PLASTICOS.</t>
  </si>
  <si>
    <t xml:space="preserve">AMBRO MESAS </t>
  </si>
  <si>
    <t>TORNADO PLUS / AMBRO 4000</t>
  </si>
  <si>
    <t>HORNOS COMPRADOS</t>
  </si>
  <si>
    <t>S-1297</t>
  </si>
  <si>
    <t>ACTUALIZACION DE PLANOS ELÉCTRICOS EN HORNOS FE III</t>
  </si>
  <si>
    <t>FE III 472/567/720/960</t>
  </si>
  <si>
    <t>CARROS</t>
  </si>
  <si>
    <t>S-1298</t>
  </si>
  <si>
    <t>SE ACTUALIZAN ESTAMPAS PARA SOLDADURA LASER Y SE APLICAN LA PLANTILLA DE PLEGADOS</t>
  </si>
  <si>
    <t>AMBRO CORTANTES</t>
  </si>
  <si>
    <t>ESTAMPAS AMBRO</t>
  </si>
  <si>
    <t>BANDEJAS/LATAS/MOLDES</t>
  </si>
  <si>
    <t>S-1299</t>
  </si>
  <si>
    <t>Cambiar abastecimiento de piezas para fabricación de molino rallador</t>
  </si>
  <si>
    <t>MOLINO RALLADOR</t>
  </si>
  <si>
    <t>MOLDEADORES</t>
  </si>
  <si>
    <t>S-1300</t>
  </si>
  <si>
    <t>MODIFICACIONES PANIER II-4570 (PA240)</t>
  </si>
  <si>
    <t>PA240</t>
  </si>
  <si>
    <t>AMBRO MEDIALUNERAS</t>
  </si>
  <si>
    <t>S-1301</t>
  </si>
  <si>
    <t>REEMPLAZO DE LONAS DE PVC PN Y DE POLIURETANO LISAS</t>
  </si>
  <si>
    <t>SGAU/GT-MINI/TORNADO/MINI-LINEA</t>
  </si>
  <si>
    <t>S-1302</t>
  </si>
  <si>
    <t>ACTUALIZACION DE PIEZAS DE CHAPERIA DE MINI-LINEA</t>
  </si>
  <si>
    <t>S-1303</t>
  </si>
  <si>
    <t>AMBRO CAB. C2000</t>
  </si>
  <si>
    <t>S-1304</t>
  </si>
  <si>
    <t>AMBRO SEMI-IND.</t>
  </si>
  <si>
    <t>S-1305</t>
  </si>
  <si>
    <t>ARGENTAL-SEMI-IND.</t>
  </si>
  <si>
    <t>S-1306</t>
  </si>
  <si>
    <t>S-1307</t>
  </si>
  <si>
    <t>S-1308</t>
  </si>
  <si>
    <t>S-1309</t>
  </si>
  <si>
    <t>S-1212</t>
  </si>
  <si>
    <t>SE MODIFICAN PIEZAS DE LA AMBRO 4000 PARA GARANTIZAR EL FUNCIONAMIENTO DEL RETRACTIL Y REGULACONES DE ROLOS LAMINADORES</t>
  </si>
  <si>
    <t>AMBRO 4000</t>
  </si>
  <si>
    <t>S-1213</t>
  </si>
  <si>
    <t>SE MODIFICA EL VIDRIO INTERNO DE PUERTA FEIII-960 PARA ELIMINAR AGUJEROS</t>
  </si>
  <si>
    <t>FEIII-960</t>
  </si>
  <si>
    <t>S-1214</t>
  </si>
  <si>
    <t>UNIFICACION DE MOLDEADORES</t>
  </si>
  <si>
    <t>S-GAU SP GT</t>
  </si>
  <si>
    <t>8237x moldeador 3 x maquina</t>
  </si>
  <si>
    <t>S-1215</t>
  </si>
  <si>
    <t>CAMBIO DE COLOR DE LONAS</t>
  </si>
  <si>
    <t>SELLO DE ILUMINACION</t>
  </si>
  <si>
    <t>S-1217</t>
  </si>
  <si>
    <t>S-1218</t>
  </si>
  <si>
    <t>CAMBIO DE EXTRACTOR 380V/50Hz</t>
  </si>
  <si>
    <t>VARIOS</t>
  </si>
  <si>
    <t>S-1219</t>
  </si>
  <si>
    <t>SE MODIFICAN PIEZAS DE LA ESTACION DE CORTE AMBRO</t>
  </si>
  <si>
    <t>S-1220</t>
  </si>
  <si>
    <t>COMPONENTE ELECTRICOS TABLERO HORNOS</t>
  </si>
  <si>
    <t>S-1221</t>
  </si>
  <si>
    <t>CARGA DE EMBALAJES EN FÓRMULA A EQUIPOS ESTÁNDAR</t>
  </si>
  <si>
    <t>S-1222</t>
  </si>
  <si>
    <t>S-1223</t>
  </si>
  <si>
    <t>HOMOLOGACION DE POLEAS Y ROLOS DE ORIGEN CHINA</t>
  </si>
  <si>
    <t>S-1224</t>
  </si>
  <si>
    <t>CORRECCION REFUERZO Y SOP. TABLERO</t>
  </si>
  <si>
    <t>S-20</t>
  </si>
  <si>
    <t>S-1225</t>
  </si>
  <si>
    <t>SE UNIFICAN PIEZAS EN GENERAL CON LOS EQUIPOS AMBRO ACTUALES</t>
  </si>
  <si>
    <t>TORNADO PLUS</t>
  </si>
  <si>
    <t>S-1226</t>
  </si>
  <si>
    <t>MODIFICACION DE GUIA GTC PARA UTILIZACION DE MOLDEADOR NUEVOS</t>
  </si>
  <si>
    <t>GTC</t>
  </si>
  <si>
    <t>S-1227</t>
  </si>
  <si>
    <t>S-1228</t>
  </si>
  <si>
    <t>MODIFICACION DE DE PRFORACIONES PARA INTERRUPTORES</t>
  </si>
  <si>
    <t>S-1229</t>
  </si>
  <si>
    <t>MODIFICACION DE REFUERZOS AMASDORAS</t>
  </si>
  <si>
    <t>MBE80-MBE200</t>
  </si>
  <si>
    <t>S-1230</t>
  </si>
  <si>
    <t>MODIFICACION DE TRANSPORTADOR DE SALIDA</t>
  </si>
  <si>
    <t>CORBOL-EU2C</t>
  </si>
  <si>
    <t>S-1231</t>
  </si>
  <si>
    <t>HORNO FE III-315 CON RESISTENCIA 4500W</t>
  </si>
  <si>
    <t>FE III-315</t>
  </si>
  <si>
    <t>S-1232</t>
  </si>
  <si>
    <t>REEMPLAZO DE RUEDAS NACIONALES POR IMPORTADAS</t>
  </si>
  <si>
    <t>S-1233</t>
  </si>
  <si>
    <t xml:space="preserve">CORRECCIONES FE III-315 </t>
  </si>
  <si>
    <t>S-1234</t>
  </si>
  <si>
    <t>MODIFICACIONES A SISTEMA DE SALIDA DE VAPOR</t>
  </si>
  <si>
    <t>FEIII-960 y FEII-472</t>
  </si>
  <si>
    <t>S-1235</t>
  </si>
  <si>
    <t>MODIF. TRANSPORTADOR SALIDA  DEL TB Y FIJACION TOLVA DB1200</t>
  </si>
  <si>
    <t>TB Y DB1200</t>
  </si>
  <si>
    <t>S-1236</t>
  </si>
  <si>
    <t>MODIFICACIONES DE TABLERO ELECTRICO TRANSPORTADOR DE BARRA</t>
  </si>
  <si>
    <t>TRANSPORTADOR DE BARRAS</t>
  </si>
  <si>
    <t>S-1237</t>
  </si>
  <si>
    <t>CAMBIO DE EQUIPO ELECTRICO Y CORRECCIONES VARIAS C4000</t>
  </si>
  <si>
    <t>C4000</t>
  </si>
  <si>
    <t>S-1238</t>
  </si>
  <si>
    <t>PRE SERIE GTMINI REV00,  MODIF. 106521 y 243186</t>
  </si>
  <si>
    <t>GTMINI</t>
  </si>
  <si>
    <t>S-1239</t>
  </si>
  <si>
    <t>Modificacion en panales de camara de fermentacion</t>
  </si>
  <si>
    <t>CF6</t>
  </si>
  <si>
    <t>S-1240</t>
  </si>
  <si>
    <t>ADAPTACION Y REEEMPLAZO DE NUEVO REDUCTOR GP70</t>
  </si>
  <si>
    <t>GP-70</t>
  </si>
  <si>
    <t>S-1241</t>
  </si>
  <si>
    <t>Pasaje rev00 GTC-GALO</t>
  </si>
  <si>
    <t>GALILEO ARTESANO</t>
  </si>
  <si>
    <t>S-1242</t>
  </si>
  <si>
    <t>CORRECCIONES VARIAS MAQUINAS MODULARES</t>
  </si>
  <si>
    <t>S-1243</t>
  </si>
  <si>
    <t>CAMBIO DE EQ ELECTRICO Y CORRECCIONES AMASADORA MBE-160HA</t>
  </si>
  <si>
    <t>MBE-160HA</t>
  </si>
  <si>
    <t>S-1244</t>
  </si>
  <si>
    <t>PRUEBA DE REMACHES</t>
  </si>
  <si>
    <t>S-1245</t>
  </si>
  <si>
    <t>SE MODIFICA LA LONGITUD DE LAS PIEZAS QUE COMPONEN AL ROLO Y CONTRAPESO DE LA AMBRO 4000 PARA GARANTIZAR LA ALINEACION DEL FIELTRO</t>
  </si>
  <si>
    <t>S-1246</t>
  </si>
  <si>
    <t>CAMBIO DE RESISTENCIA HORNO ROTATIVO ELECTRICO FE III-315</t>
  </si>
  <si>
    <t>S-1247</t>
  </si>
  <si>
    <t>SE MODIFICA EL LARGO DEL TABLERO ELECTRICO AMBRO PARA AGREGAR MAS VARIADORES DE FRECUENCIA  EN MULTIPLES LINEAS AMBRO</t>
  </si>
  <si>
    <t>S-1248</t>
  </si>
  <si>
    <t>SE MODIFICA MATERIAL Y LARGOS DE PLIEGUE EN EL SOPORTE DEL ROLO CONDUCIDO PARA FACILITAR EL PLEGADO Y MONTAJE EN LINEA</t>
  </si>
  <si>
    <t>S-1249</t>
  </si>
  <si>
    <t>SE MODIFICA MATERIAL EN LOS INSUMOS 222236 ; 222150 ; PASANDO DE BARRA INOX. A BARRA SAE 1045</t>
  </si>
  <si>
    <t>ESTIBADOR</t>
  </si>
  <si>
    <t>S-1250</t>
  </si>
  <si>
    <t>CROMADO DE PIEZA EJE DEL BRAZO DE AMAZADORA</t>
  </si>
  <si>
    <t>S-1251</t>
  </si>
  <si>
    <t>BANDEJA RECOLECTORA DB1200</t>
  </si>
  <si>
    <t>DB1200</t>
  </si>
  <si>
    <t>S-1252</t>
  </si>
  <si>
    <t>EJE ROSCADO DE PATA ROBOTICA Y AMBRO 4000</t>
  </si>
  <si>
    <t>S-1253</t>
  </si>
  <si>
    <t>SE MODIFICA EL SOSTEN EJE VOLANTE PARA REFORZAR LA PIEZA Y QUE PERMITA USARSE EN OTROS EQUIPOS</t>
  </si>
  <si>
    <t>GEPN PANIER, SOBADORA BL, TORNADO PLUS 2023</t>
  </si>
  <si>
    <t>S-1254</t>
  </si>
  <si>
    <t>CREAR FORMULA DE MECANIZADO EXTERNO DEL BUJE 218905.</t>
  </si>
  <si>
    <t>S-1255</t>
  </si>
  <si>
    <t>SE UNIFICA LA PROTECCION DE LA ESTACION DE CORTE DE LA TORNADO PLUS EN LA MINI-LINEA</t>
  </si>
  <si>
    <t>MINI-LINEA</t>
  </si>
  <si>
    <t>S-1256</t>
  </si>
  <si>
    <t>INCORPORAR EN FÓRMULA DE LOS EQUIPOS ELÉCTRICOS DE LAS CÁMARAS CFA 2C,4C,6C: HUMIDISTATO, TORTUGA Y LÁMPARA.</t>
  </si>
  <si>
    <t>CFA 2C,4C Y 6C</t>
  </si>
  <si>
    <t>S-1257</t>
  </si>
  <si>
    <t>SE MODIFICA DIÁMETRO DE PUNTAS DE EJE</t>
  </si>
  <si>
    <t>CALIBRADOR INDUSTRIAL</t>
  </si>
  <si>
    <t>S-1258</t>
  </si>
  <si>
    <t>CAMBIOS EN SOPORTE Y SENSOR EN TRANSPORTADOR INCLINADO</t>
  </si>
  <si>
    <t>TRANSPORTADOR INCLINADO</t>
  </si>
  <si>
    <t>S-1259</t>
  </si>
  <si>
    <t>SE MODIFICA LONGITUD DE LATERAL DER. TRAS. LATERO SGAU MY 2020</t>
  </si>
  <si>
    <t>SGAU</t>
  </si>
  <si>
    <t>S-1260</t>
  </si>
  <si>
    <t>SE MODIFICA LONGITUD DE EJE SOPORTE DEL SENSOR</t>
  </si>
  <si>
    <t>ESTIBADOR COORDINADO - MESA RETRÁCTIL</t>
  </si>
  <si>
    <t>S-1261</t>
  </si>
  <si>
    <t>SE AGREGAN INSUMOS FALTANTES A LISTADO BASE ARD6</t>
  </si>
  <si>
    <t>ARD6</t>
  </si>
  <si>
    <t>S-1262</t>
  </si>
  <si>
    <t>MODIFICACIÓN EN SOPORTE DE MOTOR Y LARGUERO IZQ GT38</t>
  </si>
  <si>
    <t>GT38</t>
  </si>
  <si>
    <t>S-1263</t>
  </si>
  <si>
    <t>SE MODIFICA LA FÓRMULA DE LA MESA DE TRABAJO CON VELOCIDAD VARIABLE, SE REEMPLAZA EL CHASIS POR EL NUEVO DISEÑO DE LA TORNADO PLUS ELECTRICA</t>
  </si>
  <si>
    <t>MESA MODULAR DE TRABAJO</t>
  </si>
  <si>
    <t>S-1264</t>
  </si>
  <si>
    <t xml:space="preserve">SE MODIFICA LA LONGITUD DE LA PLACA DE POLIESTIRENO </t>
  </si>
  <si>
    <t>CFA 4C/6C</t>
  </si>
  <si>
    <t>S-1265</t>
  </si>
  <si>
    <t>SE MODIFICAN LOS RESORTES HELICOIDALES PARA FACILITAR EL MONTAJE, Y EVITAR EL ROCE DE UN EXTREMO CON LA MASA</t>
  </si>
  <si>
    <t>SOBADORA L500</t>
  </si>
  <si>
    <t>S-1266</t>
  </si>
  <si>
    <t>SE MODIFICA LA BANDEJA PORTACENIZA, COLOCANDO UN REFUERZO CIEGO EN UN EXTREMO PARA EVITAR QUE SE DERRAME</t>
  </si>
  <si>
    <t>2N40 BIO</t>
  </si>
  <si>
    <t>S-1267</t>
  </si>
  <si>
    <t>LOS SOPORTES GUÍA ROZAN CONTRA LA LONA</t>
  </si>
  <si>
    <t>S-1268</t>
  </si>
  <si>
    <t>NO CONFORMIDADES VARIAS - DB1200</t>
  </si>
  <si>
    <t>S-1269</t>
  </si>
  <si>
    <t>CORRECCIÓN DIÁMETRO INTERNO BARRA REDUCTORA DE RESINA - DISTRIBUIDOR DE SALSA</t>
  </si>
  <si>
    <t>AMB 006 - DISTRIBUIDOR DE SALSA</t>
  </si>
  <si>
    <t>S-1270</t>
  </si>
  <si>
    <t>CORRECIONES VARIAS SOBRE GT MINI PRESERIE x7</t>
  </si>
  <si>
    <t xml:space="preserve">GT MINI </t>
  </si>
  <si>
    <t>S-1271</t>
  </si>
  <si>
    <t>INCORPORACIÓN DE INSUMOS FALTANTES EN VARIANTES CORBOL C/T</t>
  </si>
  <si>
    <t>CORBOL/CORBOLI</t>
  </si>
  <si>
    <t>S-1272</t>
  </si>
  <si>
    <t>UN AGUJERO DEL SOPORTE DEL ROLO TRACTOR NO COINCIDE CON EL AGUJERO DE SUJECIÓN DE LA PERITA, POR LO QUE DIFICULTA EL MONTAJE DE LA MISMA.</t>
  </si>
  <si>
    <t>S-1273</t>
  </si>
  <si>
    <t>AL INSTALAR EL REFUERZO IZQUIERDO DEL LARGUERO, SE APRECIA INTERFERENCIA ENTRE LOS DOS AGUJEROS SUPERIORES Y LOS DEL LARGUERO.</t>
  </si>
  <si>
    <t>S-1274</t>
  </si>
  <si>
    <t>CORRECCIONES EN HORNOS FE II-472 Y FE III-960</t>
  </si>
  <si>
    <t>FE II-472 / FE III-960</t>
  </si>
  <si>
    <t>S-1275</t>
  </si>
  <si>
    <t>SE CORRIGE EL EJE DEL REDUCTOR POR INTERFERENCIA EN EL MONTAJE</t>
  </si>
  <si>
    <t>S-1276</t>
  </si>
  <si>
    <t>SE PIDE INCORPORAR TOLERANCIA GEOMÉTRICA PARA ASEGURAR ORIENTACIÓN</t>
  </si>
  <si>
    <t>S-1277</t>
  </si>
  <si>
    <t>SE RETIRA ROSCADO CENTRAL DEL EJE DE ARTICULACION</t>
  </si>
  <si>
    <t>AMB-002</t>
  </si>
  <si>
    <t>S-1278</t>
  </si>
  <si>
    <t>SE MODIFICA DISEÑO DE RESORTES DE COMPRESIÓN - ESTAMPAS AMBRO</t>
  </si>
  <si>
    <t>TORNADO PLUS/ESTAMPAS</t>
  </si>
  <si>
    <t>S-1152</t>
  </si>
  <si>
    <t>CORRECCIONES MEDIALUNERA C4000</t>
  </si>
  <si>
    <t>S-1153</t>
  </si>
  <si>
    <t>UNIFICACION ESPESORES DE CHAPA SOBADORAS</t>
  </si>
  <si>
    <t>S20 Y BL</t>
  </si>
  <si>
    <t>S-1154</t>
  </si>
  <si>
    <t>UNIFICACION ESPESORES DE CHAPA SGAU MY20</t>
  </si>
  <si>
    <t>SGAU MY20</t>
  </si>
  <si>
    <t>S-1155</t>
  </si>
  <si>
    <t xml:space="preserve">CAMBIO DE MARCA DE COMPOENTES EN EQ. ELECTRICOS </t>
  </si>
  <si>
    <t>AGOSTA</t>
  </si>
  <si>
    <t>S-1156</t>
  </si>
  <si>
    <t>REVISION PS2 SGAU MY20</t>
  </si>
  <si>
    <t>S-1157</t>
  </si>
  <si>
    <t>REEMPLAZO DE PANEL VESTA POR PANEL NINGBO EN AMASADORAS</t>
  </si>
  <si>
    <t>MBE-160HA/MBE200U-S / MBE-80U-S</t>
  </si>
  <si>
    <t>S-1158</t>
  </si>
  <si>
    <t>ELIMINACION DE FORMULAS DE MECANIZADO</t>
  </si>
  <si>
    <t>SGAU-BL-CORBOL-AMASADORAS</t>
  </si>
  <si>
    <t>GALLO</t>
  </si>
  <si>
    <t>S-1159</t>
  </si>
  <si>
    <t>REEMPLAZO DE REMACHES Y TORNILLERIA</t>
  </si>
  <si>
    <t>GP70</t>
  </si>
  <si>
    <t>S-1160</t>
  </si>
  <si>
    <t>UNIFICACION DE TIPOS DE CHAPAS</t>
  </si>
  <si>
    <t>CF2 - CF4 - CF6</t>
  </si>
  <si>
    <t>S-1161</t>
  </si>
  <si>
    <t>ADAPTACION DE AGUJEROS EN CHASIS PARA NUEVO INTERRUPTOR EN AMASADORAS</t>
  </si>
  <si>
    <t>MBE-200U-S / MBE-80U-S</t>
  </si>
  <si>
    <t>S-1162</t>
  </si>
  <si>
    <t>UNIFICACION DE ROLOS TRACTORES</t>
  </si>
  <si>
    <t>TRINCHADORA</t>
  </si>
  <si>
    <t>MATTHEUS</t>
  </si>
  <si>
    <t>S-1163</t>
  </si>
  <si>
    <t>CAMBIO DE MOTORES EN AMASADORAS</t>
  </si>
  <si>
    <t>MBE-80U-S / MBE-200U-S / MBE-160HA</t>
  </si>
  <si>
    <t>S-1164</t>
  </si>
  <si>
    <t>CAMBIO DE MATERIAL DEL CUBO MANIJA DEL HORNO FEIII-960</t>
  </si>
  <si>
    <t>FURLANI</t>
  </si>
  <si>
    <t>S-1165</t>
  </si>
  <si>
    <t>SE REEMPLAZAN MANIVELA 212775 Y 204361 (FUNDICION) POR PERILLA COMERCIALES</t>
  </si>
  <si>
    <t>GRISINERA</t>
  </si>
  <si>
    <t>S-1166</t>
  </si>
  <si>
    <t>MODIFICACIONES DE REFUERZOS PARA COINCIDENCIA DE PISOS</t>
  </si>
  <si>
    <t>2N40 - PA240</t>
  </si>
  <si>
    <t>S-1167</t>
  </si>
  <si>
    <t>HOMOLOGACION FE III 315</t>
  </si>
  <si>
    <t>FE III 315</t>
  </si>
  <si>
    <t>S-1168</t>
  </si>
  <si>
    <t>CORRECCIONES C4000 Y TORNADO PLUS</t>
  </si>
  <si>
    <t>C4000 / TORNADO PLUS</t>
  </si>
  <si>
    <t>S-1169</t>
  </si>
  <si>
    <t>ESPECIFICACION DE MOLETEADO</t>
  </si>
  <si>
    <t>S-1170</t>
  </si>
  <si>
    <t>MODIFICACIONES EN CAMARA DE FERMENTACION CFA</t>
  </si>
  <si>
    <t>S-1171</t>
  </si>
  <si>
    <t>MODIFICACION DE MATERIALES DE ENGRANAJES</t>
  </si>
  <si>
    <t>S-GAU - M66 - GP70</t>
  </si>
  <si>
    <t>S-1172</t>
  </si>
  <si>
    <t>MODIFICACION EN CAJAS DE BULONERIA</t>
  </si>
  <si>
    <t>2N40 - 2N90 - PA40 - PA90</t>
  </si>
  <si>
    <t>S-1173</t>
  </si>
  <si>
    <t>MODIFICACION EN LISTADOS DE FORMULAS</t>
  </si>
  <si>
    <t>GTC - GT-38 - GTC GALO - EU2C</t>
  </si>
  <si>
    <t>S-1174</t>
  </si>
  <si>
    <t>REDUCCION DE VARIEDAD DE HOJAS DE CHAPAS</t>
  </si>
  <si>
    <t>TODOS</t>
  </si>
  <si>
    <t>S-1175</t>
  </si>
  <si>
    <t>AMASADORA MBE-200U-S CON EJE DE MOTOR DE ESPIRAL DE 32MM</t>
  </si>
  <si>
    <t>MBE-200U-S</t>
  </si>
  <si>
    <t>S-1176</t>
  </si>
  <si>
    <t>MODIFICACION TRANSPORTADOR INCLINADO</t>
  </si>
  <si>
    <t>S-1177</t>
  </si>
  <si>
    <t>UNIFICACION DE MATERIA PRIMA Y DISEÑO SEPARADORES Y PERITAS</t>
  </si>
  <si>
    <t>S-1178</t>
  </si>
  <si>
    <t>LA REDUCCIÓN DE LA CANTIDAD DE MOTORES, REDUCTORES Y MOTORREDUCTORES WMI</t>
  </si>
  <si>
    <t>S-1179</t>
  </si>
  <si>
    <t>MODIFICACION HORNOS BIO</t>
  </si>
  <si>
    <t>BIO</t>
  </si>
  <si>
    <t>S-1180</t>
  </si>
  <si>
    <t>CORRECCION SOPORTE CABEZAL CORTADOR</t>
  </si>
  <si>
    <t>S-1181</t>
  </si>
  <si>
    <t>CORRECCION LATERAL CABEZAL ARMADOR S-GAU</t>
  </si>
  <si>
    <t>GTC - GT-38 - GTC-SGAU</t>
  </si>
  <si>
    <t>S-1182</t>
  </si>
  <si>
    <t>CORRECCION LATERALES SOBADORA  360 BE</t>
  </si>
  <si>
    <t>S-1183</t>
  </si>
  <si>
    <t>MODIFICACION LONA DE CONJUNTO TRANSPORTADOR DE SALIDA</t>
  </si>
  <si>
    <t>S-1184</t>
  </si>
  <si>
    <t>ADAPTACION DE EJE PARA NUEVO REDUCTOR</t>
  </si>
  <si>
    <t>S-GAU</t>
  </si>
  <si>
    <t>S-1185</t>
  </si>
  <si>
    <t>MODIFICACION DE BULONERIA  HORNO FE III-960</t>
  </si>
  <si>
    <t>TORNILLERIA HORNO FE III-960</t>
  </si>
  <si>
    <t>S-1186</t>
  </si>
  <si>
    <t>CORRECCION DE PROTECCIONES</t>
  </si>
  <si>
    <t>S-1187</t>
  </si>
  <si>
    <t>MODIFICACION DE LARGEROS LATERALES SP</t>
  </si>
  <si>
    <t>SP MODULAR</t>
  </si>
  <si>
    <t>S-1188</t>
  </si>
  <si>
    <t>MODIFICACION LARGO DESARROLLO FIELTRO 108023</t>
  </si>
  <si>
    <t>SGAU/GTC</t>
  </si>
  <si>
    <t>S-1189</t>
  </si>
  <si>
    <t>MODIFICACION EN NESTING POR PRODUCTO</t>
  </si>
  <si>
    <t>S-1190</t>
  </si>
  <si>
    <t>MODIFICACION DE TOLERANCIA DE EJE CONDUCTOR TRANS. DE CADENA</t>
  </si>
  <si>
    <t>S-1191</t>
  </si>
  <si>
    <t>SE MODIFICAN PLANOS DE CHAPERIA PARA ELIMINAR VARIANTES DE CHAPAS, SOLDADURA Y PULIDOS EN PIEZAS AMBRO</t>
  </si>
  <si>
    <t>S-1192</t>
  </si>
  <si>
    <t>AGUJERO DESCARGA QUIMICOS ROLO 237464, 237465 Y 237466</t>
  </si>
  <si>
    <t>ARGENTAL</t>
  </si>
  <si>
    <t>S-1193</t>
  </si>
  <si>
    <t>UNIFICACION DE CHAPAS 2N402</t>
  </si>
  <si>
    <t>2N402</t>
  </si>
  <si>
    <t>S-1194</t>
  </si>
  <si>
    <t>CORRECION AGUJ. DE CORTANTE CENTRAL MOLDEADOR SP</t>
  </si>
  <si>
    <t>S-1195</t>
  </si>
  <si>
    <t xml:space="preserve">SE MODIFICAN FORMULAS DE EQUIPOS ELECTRICOS AMBRO Y ACCESORIOS AMBRO PARA FACILITAR LA FABRICACION </t>
  </si>
  <si>
    <t>S-1196</t>
  </si>
  <si>
    <t>HOMOLOGACION SGAU</t>
  </si>
  <si>
    <t>S-1197</t>
  </si>
  <si>
    <t>Rediseño GP70</t>
  </si>
  <si>
    <t>S-1198</t>
  </si>
  <si>
    <t>MODIFICACION VAPORIZADOR HORNO DE PISO 2P06</t>
  </si>
  <si>
    <t>FEIII-315</t>
  </si>
  <si>
    <t>S-1199</t>
  </si>
  <si>
    <t>MODIFICACION PARANTES CORBOL</t>
  </si>
  <si>
    <t>S-1200</t>
  </si>
  <si>
    <t>MODIFICACION LATERALES CABEZAL CORTADOR</t>
  </si>
  <si>
    <t>S-1201</t>
  </si>
  <si>
    <t>MODIFICACIONES CORBOL</t>
  </si>
  <si>
    <t>S-1202</t>
  </si>
  <si>
    <t>MODIFICACIONES TABLEROS CORBOL</t>
  </si>
  <si>
    <t>S-1203</t>
  </si>
  <si>
    <t>MODIFICACION PERNO POLEA DOBLE</t>
  </si>
  <si>
    <t>S-1204</t>
  </si>
  <si>
    <t>ACTUALIZACIÓN BAJA Y ESTÁNDAR DE CHAPAS</t>
  </si>
  <si>
    <t>S-1205</t>
  </si>
  <si>
    <t>MODIFICACION EN PIEZAS</t>
  </si>
  <si>
    <t>S-1206</t>
  </si>
  <si>
    <t xml:space="preserve">MODIFICACIONES EN HORNO 315 </t>
  </si>
  <si>
    <t>S-1207</t>
  </si>
  <si>
    <t>MODIFICACIONES PIEZAS DE BLIND</t>
  </si>
  <si>
    <t>BLIND</t>
  </si>
  <si>
    <t>S-1208</t>
  </si>
  <si>
    <t>SE MODIFICA MATERIAL PROCESO DE FABRICACION EN PIEZAS DE C4000</t>
  </si>
  <si>
    <t>S-1209</t>
  </si>
  <si>
    <t>SE MODIFICAN PIEZAS PARA MEJORAR EL APROVECHAMIENTO DE CHAPAS</t>
  </si>
  <si>
    <t>S-1210</t>
  </si>
  <si>
    <t>REPLANTEO CALCOMANIAS EQUIPOS ARGENTAL</t>
  </si>
  <si>
    <t>UNIFICACION DE REMACHES</t>
  </si>
  <si>
    <t>S-1216</t>
  </si>
  <si>
    <t>S-1094</t>
  </si>
  <si>
    <t>S-1040</t>
  </si>
  <si>
    <t>SE SOLICITA REEMPLAZAR LA CHAPA ALUMINIZADA POR OTRO MATERIAL</t>
  </si>
  <si>
    <t>2N40 Y 2N50</t>
  </si>
  <si>
    <t>S-1041</t>
  </si>
  <si>
    <t>SE PLANTEO UN NUEVO EQUIPO ELECTRICO CON COMPONENTES KINCO MEJORANDO LA PRESTACIÓN DE LAS MINI-LINEAS AMBRO</t>
  </si>
  <si>
    <t>MINILINEA</t>
  </si>
  <si>
    <t>S-1042</t>
  </si>
  <si>
    <t>SE REALIZAN CORRECCIONES EN LOS PISOS DE LOS HORNOS LIDO, PA290 Y RMINI</t>
  </si>
  <si>
    <t>LIDO/PA290</t>
  </si>
  <si>
    <t>S-1043</t>
  </si>
  <si>
    <t xml:space="preserve">SE CREA POLEA MODIFICADA PARA HERMANAR CON POLEA INGRESADA CON ERROR DE DIMENCIONAMIENTO. </t>
  </si>
  <si>
    <t>MBE-200U</t>
  </si>
  <si>
    <t>S-1044</t>
  </si>
  <si>
    <t>SE ELIMINA EL KIT DE LUBRICACION DE LA BLIND FULL Y CONDUCTOS ADICIONALES PARA LA BLIND STD. EN SU LUGAR SE COLOCAN ALEMINTES DE FORMA DIRECTA</t>
  </si>
  <si>
    <t>BLIND FULL 2422,5 + MONTAJE (2HS) 925
BLINDE 347</t>
  </si>
  <si>
    <t>BLIND FULL 67
BLINDE 3</t>
  </si>
  <si>
    <t>S-1045</t>
  </si>
  <si>
    <t>HOMOLOGACION NUEVOS PICAMASAS Y CORRECCIÓN DE FÓRMULA</t>
  </si>
  <si>
    <t>GORLA</t>
  </si>
  <si>
    <t>AHORRO POR PICA 16189 + AHORRO 
POR COTANTE 70,6</t>
  </si>
  <si>
    <t>PICAS 27
CORTANTES 700</t>
  </si>
  <si>
    <t>S-1046</t>
  </si>
  <si>
    <t>SE SOLICITA AGREGAR AGUJEROS PARA FIJACION</t>
  </si>
  <si>
    <t>TRANSPORTADOR/ESTIBADOR</t>
  </si>
  <si>
    <t>S-1047</t>
  </si>
  <si>
    <t>CORRECCION FORMULA Y PLANOS DE HORNOS ROTATIVOS</t>
  </si>
  <si>
    <t>PA290</t>
  </si>
  <si>
    <t>S-1048</t>
  </si>
  <si>
    <t>CORRECCION FORMULA MBE-80U-S</t>
  </si>
  <si>
    <t>MBE-80U-S</t>
  </si>
  <si>
    <t>S-1049</t>
  </si>
  <si>
    <t>SE AGREGAN AGUJEROS PARA COLOCAR LIMITE DE CARRERA</t>
  </si>
  <si>
    <t>S-1050</t>
  </si>
  <si>
    <t>MODIFICACION CAJA DE BULONERIA CAJA DE COCCIÓN</t>
  </si>
  <si>
    <t>S-1051</t>
  </si>
  <si>
    <t>SE CAMBIAN NOTAS DE CINCADO EN PIEZAS DE AMASADORAS</t>
  </si>
  <si>
    <t>MBE-200U-S/MBE-80U-S/
MBE-160HA</t>
  </si>
  <si>
    <t>S-1052</t>
  </si>
  <si>
    <t>MODIFICACION AGUJEROS PARA REMACHES DE 4.8</t>
  </si>
  <si>
    <t>PA290-1006</t>
  </si>
  <si>
    <t>S-1053</t>
  </si>
  <si>
    <t>INCORPORACION DE 2 ANILLO PUERTA SEPARACION P-MEC) PARA HORNO 2n902</t>
  </si>
  <si>
    <t>2N902</t>
  </si>
  <si>
    <t>S-1054</t>
  </si>
  <si>
    <t>SE SOLICITA CAMBIAR ESPESORES Y TIPO DE CHAPAS EN PIEZAS DEL TRANSPORTADOR DE BARRAS</t>
  </si>
  <si>
    <t>TRANSPORTADOR</t>
  </si>
  <si>
    <t>S-1055</t>
  </si>
  <si>
    <t>SE REALIZAN MODIFICACIONES EN PIEZAS AMB-012</t>
  </si>
  <si>
    <t>GALLETA CUBANA / MINILINEA</t>
  </si>
  <si>
    <t>S-1056</t>
  </si>
  <si>
    <t>MODIFICACION DE CHAPA PREPINTADA GALVANIZADA A CHAPA AISI-430 E=0,5 BRI.PROT PARA TECHO POSTERIOR Y TECHO EXT.DELANTERO DE HORNO PA240</t>
  </si>
  <si>
    <t>S-1057</t>
  </si>
  <si>
    <t>CAMBIAR CHAPAS DE HORNOS</t>
  </si>
  <si>
    <t>2N40 Y 2N90</t>
  </si>
  <si>
    <t>S-1058</t>
  </si>
  <si>
    <t>SE AGRANDAN AGUJEROS PARA FACILITAR EL MONTAJE DE LAS CAJAS PORTA BUJES EN LOS LATERALES DE BLIND.</t>
  </si>
  <si>
    <t>S-1059</t>
  </si>
  <si>
    <t>SE REALIZAN MODIFICACION EJES DE ROLOS</t>
  </si>
  <si>
    <t>S-1060</t>
  </si>
  <si>
    <t>SE REALIZAN MODIFICACIONES LONGITUD DE AGUJEROS</t>
  </si>
  <si>
    <t>SOBADORA AUTOMATICA</t>
  </si>
  <si>
    <t>S-1061</t>
  </si>
  <si>
    <t>RE AGREGAN COMPONENTES A LISTADOS 224856 Y 228276</t>
  </si>
  <si>
    <t>S-1062</t>
  </si>
  <si>
    <t>S-1063</t>
  </si>
  <si>
    <t xml:space="preserve">MODIFICACIONES EN CAMARAS CFA </t>
  </si>
  <si>
    <t>CFA</t>
  </si>
  <si>
    <t>S-1064</t>
  </si>
  <si>
    <t>CORRECCIONES EN PIEZAS DE AMASADORAS</t>
  </si>
  <si>
    <t>MBE-200U-S/
MBE-160HA</t>
  </si>
  <si>
    <t>S-1065</t>
  </si>
  <si>
    <t>SE MODIFICAN PIEZAS EN BLIND PARA MEJORAR COSTOS Y PROCESOS DE FABRICACION</t>
  </si>
  <si>
    <t>S-1066</t>
  </si>
  <si>
    <t>CORRECCION TABLEROS ELECTRICOS</t>
  </si>
  <si>
    <t>S-1067</t>
  </si>
  <si>
    <t>CORRECCION EN PIEZAS DE AMASADORAS MBE-200U-S Y MBE-80U-S</t>
  </si>
  <si>
    <t>S-1068</t>
  </si>
  <si>
    <t>CAMBIO DE ARANDELA W 100176 A M 8 100376</t>
  </si>
  <si>
    <t>S-1069</t>
  </si>
  <si>
    <t>HOMOLOGACION MBE-160HA</t>
  </si>
  <si>
    <t>S-1070</t>
  </si>
  <si>
    <t>CORRECCION DE LA CANTIDAD DE INSUMOS DE REMACHES</t>
  </si>
  <si>
    <t>2N40-2N902-PA290-PA240</t>
  </si>
  <si>
    <t>S-1071</t>
  </si>
  <si>
    <t>MODIFICACION AGUJEROS EN G38 MODULAR</t>
  </si>
  <si>
    <t>MODULAR G38</t>
  </si>
  <si>
    <t>S-1072</t>
  </si>
  <si>
    <t>MODIFICACION TOLERANCIAS</t>
  </si>
  <si>
    <t>PANIER - V</t>
  </si>
  <si>
    <t>S-1073</t>
  </si>
  <si>
    <t>CORRECCION TOLERANCIAS SOPORTE RASQUETA SUPERIOR</t>
  </si>
  <si>
    <t>GT38-MODULAR</t>
  </si>
  <si>
    <t>S-1074</t>
  </si>
  <si>
    <t>SE AGREGA CAJA DE EMBALAJES</t>
  </si>
  <si>
    <t>S-1075</t>
  </si>
  <si>
    <t>CAMBIO DE MATERIA PRIMA</t>
  </si>
  <si>
    <t>S-1076</t>
  </si>
  <si>
    <t>HOMOLOGACION CORTADORA-BOLLERA CORBOL MODULAR, CORTADORA ARGENTAL M66 MODULAR</t>
  </si>
  <si>
    <t>CORBOLI - M66</t>
  </si>
  <si>
    <t>CORBOL (388USD) M-66 455USD, BHC 178USD</t>
  </si>
  <si>
    <t>26 - 5 - 10</t>
  </si>
  <si>
    <t>S-1077</t>
  </si>
  <si>
    <t>ACCESO A MANUAL</t>
  </si>
  <si>
    <t>FEIII</t>
  </si>
  <si>
    <t>S-1078</t>
  </si>
  <si>
    <t>MODIFICACIONES EN HORNO ROTATIVO 2N40 BIO</t>
  </si>
  <si>
    <t>S-1079</t>
  </si>
  <si>
    <t>CORRECCION PLANO PLEGADO COLUMNA DERECHA 2N40 P/ PANEL TOUCH</t>
  </si>
  <si>
    <t>2N40</t>
  </si>
  <si>
    <t>S-1080</t>
  </si>
  <si>
    <t>SE SOLICITA CAMBIO DE MATERIA PRIMA</t>
  </si>
  <si>
    <t>S-1081</t>
  </si>
  <si>
    <t>SE SOLICITA VER LA POSIBILIDAD DE GENERAR LA BASE DE LA GUILLOTINA AMBRO DE ALUMINIO EN CHAPA PLEGADA POR FALTA DE STOCK Y TIEMPO DE REPOSICION</t>
  </si>
  <si>
    <t>GUILLOTINAS AMBRO</t>
  </si>
  <si>
    <t>S-1082</t>
  </si>
  <si>
    <t>CREACION DE FORMULA Y KIT DE ALISTAJE EQUIPOS LINEA RAFREDDO Y CHOPRA III.</t>
  </si>
  <si>
    <t>RAPIFREDDO</t>
  </si>
  <si>
    <t>S-1083</t>
  </si>
  <si>
    <t>CORRECION PLANOS BIELAS  CORTA REGULACION FIELTRO SUPERIOR, CILINDRO LAMINADOR SUPERIOR, LATERAL DERECHO Y IZQUIERDO</t>
  </si>
  <si>
    <t>S-1084</t>
  </si>
  <si>
    <t>Horno PA290 y Lido</t>
  </si>
  <si>
    <t>S-1085</t>
  </si>
  <si>
    <t>SE REALIZAN MODIFICACIONES EN LOS CARROS DE LA AMASADORA MBE-160HA</t>
  </si>
  <si>
    <t>S-1086</t>
  </si>
  <si>
    <t>SE AGREGA ACOPLE TLK A LA FORMULA DE LA POLEA</t>
  </si>
  <si>
    <t>MBE-80U-S / MBE-200U-S</t>
  </si>
  <si>
    <t>S-1087</t>
  </si>
  <si>
    <t>CORECCION LISTADO DE PIEZAS EN LA FORMULA DE LA PUERTA HORNO 2N40</t>
  </si>
  <si>
    <t>S-1088</t>
  </si>
  <si>
    <t>AJUSTE DE INVENTARIO DEPOSITO ETCHEGARAYA</t>
  </si>
  <si>
    <t>S-1089</t>
  </si>
  <si>
    <t>S-1090</t>
  </si>
  <si>
    <t>SE AGREGA TOLERANCIAS AL AGUJERO DE LA PIEZA B0308016</t>
  </si>
  <si>
    <t>S-1091</t>
  </si>
  <si>
    <t>SE REEMPLAZA MARCO DE ILUMINACION POR PORTALAMPARAS INDEPENDIENTES</t>
  </si>
  <si>
    <t>S-1092</t>
  </si>
  <si>
    <t>CORRECCION PASO DE ROSCA EN CILINDRO CALIBRADOR AMBRO 4000</t>
  </si>
  <si>
    <t>S-1093</t>
  </si>
  <si>
    <t xml:space="preserve"> MODIFICACION  PROTECCION- TRANSPORTADOR DE SALIDA- PERNO LOCALIZADOR</t>
  </si>
  <si>
    <t>EU2C / M66</t>
  </si>
  <si>
    <t>S-1095</t>
  </si>
  <si>
    <t xml:space="preserve">SE AGREGA BULONERIA </t>
  </si>
  <si>
    <t>GTC Y EU2C</t>
  </si>
  <si>
    <t>S-1096</t>
  </si>
  <si>
    <t>FEIII 960 BIO Y FE II 472 BIO</t>
  </si>
  <si>
    <t>S-1097</t>
  </si>
  <si>
    <t xml:space="preserve">PIEZAS COMPRADAS POR RI PASAN A TENER LA FORMULA COMO ALTERNATIVA </t>
  </si>
  <si>
    <t>S-1098</t>
  </si>
  <si>
    <t>A RAZON DEL REEMPLAZO DE MOTOREDUCTORES POR CONJUNTO MOTOR + REDUCTOR WMI SE PROCEDE A UN CAMBIO DE FORMULA DE LOS M ISMOS PARA ASENTAR DICHO CAMBIO</t>
  </si>
  <si>
    <t>S-1099</t>
  </si>
  <si>
    <t xml:space="preserve">SE ALARGA CORREDERA AL SOPORTE 242138 Y 242674 PARA VINCULAR TI AL GTC Y SGAU </t>
  </si>
  <si>
    <t>TRANSPORTADO RINCLINADO</t>
  </si>
  <si>
    <t>S-1100</t>
  </si>
  <si>
    <t>SE SOLICITA FORMULA DE MECANIZADO EXTERNO ENGRANAJES RECTOS</t>
  </si>
  <si>
    <t>S-1101</t>
  </si>
  <si>
    <t>SE SOLICITA CAMBIO DE CHAPA PREPINT A CHAPA INOX</t>
  </si>
  <si>
    <t>S-1102</t>
  </si>
  <si>
    <t>SE SOLICITA ELIMINAR LA PINTURA DE LA POLEA MBE-80-152</t>
  </si>
  <si>
    <t>MBE-80</t>
  </si>
  <si>
    <t>S-1103</t>
  </si>
  <si>
    <t>SE AGREGA BUJE A ENSAMBLE TENSOR DE CADENA</t>
  </si>
  <si>
    <t>S-1104</t>
  </si>
  <si>
    <t>SE REEMPLAZA BISAGRA Y CIERRE CAMARA DE FERMENTACION CFA</t>
  </si>
  <si>
    <t>CAMARA FERMENTACION CFA</t>
  </si>
  <si>
    <t>S-1105</t>
  </si>
  <si>
    <t>SE QUITA PROCESO DE PINTURA A POLEA EJE DEL BRAZO Y SE AGREGA FORMULA DE MECANIZADO INTERNO</t>
  </si>
  <si>
    <t>MBE-160HA / MBE-200U-S</t>
  </si>
  <si>
    <t>S-1106</t>
  </si>
  <si>
    <t>SE AGREGAN RANURAS AL EJE DE LOS CORTANTES TRIANGULARES PARA UTILIZA CON NUEVA C4000</t>
  </si>
  <si>
    <t>S-1107</t>
  </si>
  <si>
    <t>SE MODIFICA LA LONGITUD DEL PERNO TENSOR DE LONA SUPERIOR DEL CARTUCHO ARMADOR C4000</t>
  </si>
  <si>
    <t>S-1108</t>
  </si>
  <si>
    <t>SE REALIZA CHAVETERO 6X6X24 A 180 DEL CHAVETERO DE 8X7X64</t>
  </si>
  <si>
    <t>M66-EU2C-CORBOL</t>
  </si>
  <si>
    <t>S-1109</t>
  </si>
  <si>
    <t>SE REALIZA LA MODIFICACION DEL CAMPO DETALLE DE PRESEA DE LOS DIFERENTES RUBROS</t>
  </si>
  <si>
    <t>03/08/201</t>
  </si>
  <si>
    <t>S-1110</t>
  </si>
  <si>
    <t>SE AGREGA AGUJERO A TENSOR DE CADENA DEL CALIBRADOR INDUSTRIAL</t>
  </si>
  <si>
    <t>S-1111</t>
  </si>
  <si>
    <t>SE CORRIGE LA POSICION DEL PRENSA CABLE DEN LA BASE DE LA GUILLOTINA EW</t>
  </si>
  <si>
    <t>S-1112</t>
  </si>
  <si>
    <t>SE MODIFICA SOPORTE DE RUEDAS Y TAPA DE EMPUJE DE AMASADORAS</t>
  </si>
  <si>
    <t>MBE-160HA / MBE-200U-S / MBE-80U-S</t>
  </si>
  <si>
    <t>S-1113</t>
  </si>
  <si>
    <t>SE AUMENTA LA LONGITUD DE LA RASQUETA DEL CALIBRADOR</t>
  </si>
  <si>
    <t>CALIBRADOR</t>
  </si>
  <si>
    <t>S-1114</t>
  </si>
  <si>
    <t>SE CAMBIAN LOS CODIGOS DE LAS CAJAS PORTA RODAMIENTOS</t>
  </si>
  <si>
    <t>S-1115</t>
  </si>
  <si>
    <t xml:space="preserve">SE RELEVA BULONERIA Y SE SACA EXCEDENTE </t>
  </si>
  <si>
    <t>SOBADORA BLIND Y 360</t>
  </si>
  <si>
    <t>S-1116</t>
  </si>
  <si>
    <t>SE ACTUALIZA FORMULA DE LA SOBADORA AUTOMATICA PARA UTILIZAR EL NUEVO CHASIS DE BLIND Y PIEZAS VARIAS DE REGULACION</t>
  </si>
  <si>
    <t>S-1117</t>
  </si>
  <si>
    <t>SE AGREGA AGUJERO ROSCADO A PERNO DEL ARMADOR C4000</t>
  </si>
  <si>
    <t>ARMADOR C4000</t>
  </si>
  <si>
    <t>S-1118</t>
  </si>
  <si>
    <t>REEMPLAZO MOTORREDUCTOR POR MOTOR-REDUCTOR EN FORMULA DE EQUIPOS</t>
  </si>
  <si>
    <t>S-1119</t>
  </si>
  <si>
    <t>MBE-80U-S Y 200U-S</t>
  </si>
  <si>
    <t>S-1120</t>
  </si>
  <si>
    <t>SE REALIZAN MODIFICACIONES EN CHASIS Y CABEZAL CORTADOR</t>
  </si>
  <si>
    <t>HBC Y CORBOL</t>
  </si>
  <si>
    <t>S-1121</t>
  </si>
  <si>
    <t>MODIFICACION DE COTAS EN GANCHO PARA CARROS</t>
  </si>
  <si>
    <t>S-1122</t>
  </si>
  <si>
    <t>MODIFICACION DE CURSOR DE APERTURA</t>
  </si>
  <si>
    <t>S-1123</t>
  </si>
  <si>
    <t>HOMOLOGACION C4000 Y ARMADOR 4000</t>
  </si>
  <si>
    <t>C4000 / ARMADOR 4000</t>
  </si>
  <si>
    <t>S-1124</t>
  </si>
  <si>
    <t>SE AGREGAN CAMBIOS PARA MONTAJE DEL ESPEJO SENSOR Y SE GENERA LA VARIANTE DE BANDEJAS 40X60</t>
  </si>
  <si>
    <t>ESTIBADOR COORDINADO</t>
  </si>
  <si>
    <t>S-1125</t>
  </si>
  <si>
    <t>Reemplazo de reductores RMI por WMI</t>
  </si>
  <si>
    <t>S-1126</t>
  </si>
  <si>
    <t>Crear fórmulas de mecanizado externo para los engranajes 213403, 213531 y 217201.</t>
  </si>
  <si>
    <t>S-1127</t>
  </si>
  <si>
    <t>CAMBIO DE BARRA 304 POR SAE 1045 CON CINCADO</t>
  </si>
  <si>
    <t>SGAU-GTC-ARD6</t>
  </si>
  <si>
    <t>S-1128</t>
  </si>
  <si>
    <t>UNIFICACION DE ESPESORES DE CHAPA C4000</t>
  </si>
  <si>
    <t>S-1129</t>
  </si>
  <si>
    <t>SE CORRIGE LA  FORMULA DEL EQUIPO ARD6</t>
  </si>
  <si>
    <t>S-1130</t>
  </si>
  <si>
    <t>SE CORRIGE LA FORMULA DEL TRANSPORTADOR DE BARRAS</t>
  </si>
  <si>
    <t>TRANSP. BARRAS</t>
  </si>
  <si>
    <t>S-1131</t>
  </si>
  <si>
    <t>CORRECCIONES EN AMASADORAS</t>
  </si>
  <si>
    <t>S-1132</t>
  </si>
  <si>
    <t>SE AGREGA SOPORTE PARA SENSOR EN ESTIBADOR COORDINADO</t>
  </si>
  <si>
    <t>S-1133</t>
  </si>
  <si>
    <t>SE MODIFICAN AGUJEROS DE RASQUETA CURVA L=276</t>
  </si>
  <si>
    <t>CABEZAL ARMADOR</t>
  </si>
  <si>
    <t>S-1134</t>
  </si>
  <si>
    <t>ACEITE HIDRAULICO AMASADORA MBE-160HA</t>
  </si>
  <si>
    <t>S-1135</t>
  </si>
  <si>
    <t>SE AGREGAN AGUJEROS EN CORBOLI</t>
  </si>
  <si>
    <t>CORBOLI Y HBC</t>
  </si>
  <si>
    <t>S-1136</t>
  </si>
  <si>
    <t>S-1137</t>
  </si>
  <si>
    <t>SE AGREGA CROMADO ORNAMENTAL AL SOPORTE DE LA RASQUETA</t>
  </si>
  <si>
    <t>S-1138</t>
  </si>
  <si>
    <t>SE MODIFICA ESPESOR DE CHAPA PARA GARANTIZAR EL CORRECTO PLEGADO DEL SOPORTE DEL MOTOR DE LA BLIND</t>
  </si>
  <si>
    <t>SOBADORA BLIND</t>
  </si>
  <si>
    <t>S-1139</t>
  </si>
  <si>
    <t>SE MODIFICA LA FORMULA DE ARMADO INTERNO DE LOS MOVIMIENTOS DE CARRO DEL SOPORTE MOTORREDUCTOR</t>
  </si>
  <si>
    <t>S-1140</t>
  </si>
  <si>
    <t>SE MODIFICAN AGUJEROS PARA SUJECION DE REDUCTOR</t>
  </si>
  <si>
    <t>S-1141</t>
  </si>
  <si>
    <t>SE CORRIGE PIEZA DEL RECUPERADOR DE RECORTES</t>
  </si>
  <si>
    <t>S-1142</t>
  </si>
  <si>
    <t>SE MODIFICA PIEZA PARA MEJORAR ARMADO EN LINEA</t>
  </si>
  <si>
    <t>OPTIMAX 945</t>
  </si>
  <si>
    <t>S-1143</t>
  </si>
  <si>
    <t>UNIFICACION DE ESPESORES DE CHAPA DE AMASADORAS</t>
  </si>
  <si>
    <t>MBE-200/160/80</t>
  </si>
  <si>
    <t>S-1144</t>
  </si>
  <si>
    <t>MBE-200U-S/MBE-160HA / MBE-80U-S</t>
  </si>
  <si>
    <t>S-1145</t>
  </si>
  <si>
    <t>UNIFICACION MATERIA PRIMA</t>
  </si>
  <si>
    <t>S20</t>
  </si>
  <si>
    <t>S-1146</t>
  </si>
  <si>
    <t>MODIFICACIONES VARIAS CAMARAS DE FERMENTACION CFA</t>
  </si>
  <si>
    <t>CAMARAS CF2 CF4 CF6</t>
  </si>
  <si>
    <t>S-1147</t>
  </si>
  <si>
    <t>ACTUALIZACION DE RADIOS DE PLEGADO DE CHAPA Y FACTORES "K"</t>
  </si>
  <si>
    <t>S-1148</t>
  </si>
  <si>
    <t>CORRECCION CORDON DE POLIURETANO VERDE TRAPEZOIDAL</t>
  </si>
  <si>
    <t>S-1149</t>
  </si>
  <si>
    <t>MODIFICACIONES EN TAPA DE VENTANA DE INSPECCION</t>
  </si>
  <si>
    <t>2N90 BIO</t>
  </si>
  <si>
    <t>S-1150</t>
  </si>
  <si>
    <t>MODIFICACION PIEZA SENSOR AMASADORA 160</t>
  </si>
  <si>
    <t>MBE -160</t>
  </si>
  <si>
    <t>21/21/21</t>
  </si>
  <si>
    <t>S-1151</t>
  </si>
  <si>
    <t>MODIFICACION DE RENURAS POR REEMPLAZO DE PANEL VESTA EN AMASADORAS</t>
  </si>
  <si>
    <t>S-1211</t>
  </si>
  <si>
    <t>M-66</t>
  </si>
  <si>
    <t>AMASADORA 160</t>
  </si>
  <si>
    <t>GTC GALO</t>
  </si>
  <si>
    <t>CAMBIAR LA FORMA DE GRABADO LASER</t>
  </si>
  <si>
    <t>MODIFICACIONES C4000</t>
  </si>
  <si>
    <t>ARD 6</t>
  </si>
  <si>
    <t>CAMBIAR MOTOR PATAS POR BRIDA- DISEÑAR UN SOPORTE P/MOTOR BRIDA</t>
  </si>
  <si>
    <t>REEMPLAZO DE ELECTROEMBRAGUE POR MOTOR Y REDUCTOR EN TRANSPORTADOR DE ENTRADA DEL CALIBRADOR C4000</t>
  </si>
  <si>
    <t>S-1310</t>
  </si>
  <si>
    <t>LOS CABLES DE COMUNICACIÓN (243731 Y 243732) COMIENZAN A ARMARSE INTERNAMENTE</t>
  </si>
  <si>
    <t>LINEA GALILEO ARTESANO</t>
  </si>
  <si>
    <t>REEMPLAZO DE CALCO AMASADORA 160 POR GRABADO LASER EN PANEL ELECTRICO</t>
  </si>
  <si>
    <t>S</t>
  </si>
  <si>
    <t>S-1311</t>
  </si>
  <si>
    <t>S-1312</t>
  </si>
  <si>
    <t>SE REEMPLAZA SEPARADOR 206187 POR 108133</t>
  </si>
  <si>
    <t>S-1313</t>
  </si>
  <si>
    <t>MODIFICACION EN PESTAÑA DE PIEZA 801181</t>
  </si>
  <si>
    <t>GT-MINI</t>
  </si>
  <si>
    <t>S-1314</t>
  </si>
  <si>
    <t>MODIFICACION EN PALOTE AMBRO 102100</t>
  </si>
  <si>
    <t>S-1315</t>
  </si>
  <si>
    <t>SE APLICA EL NUEVO CHASIS 801337 EN LA TORNADO PLUS 1691 PARA MEJORA DE COSTOS, TIEMPOS DE MONTAJE Y OPTIMIZACION DE CHAPAS. HASTA AGOTAR STOCK DE GUILLOTINAS NEUMATICAS.</t>
  </si>
  <si>
    <t>S-1316</t>
  </si>
  <si>
    <t>ACTUALIZACION Y CORRECCION PIEZAS PA240</t>
  </si>
  <si>
    <t>PANIER 4570 - PA240</t>
  </si>
  <si>
    <t>FE II 472 BIO</t>
  </si>
  <si>
    <t>MEJORAS PIEZAS FE II 472 BIO</t>
  </si>
  <si>
    <t>S-1317</t>
  </si>
  <si>
    <t>REEMPLAZO DE GRABADO EN CORTADORA LASER A GRABADO LASER</t>
  </si>
  <si>
    <t>SOBADORA BLINDADA BL</t>
  </si>
  <si>
    <t>S-1318</t>
  </si>
  <si>
    <t>SGAU/TRANSP INCLINADO</t>
  </si>
  <si>
    <t>S-1319</t>
  </si>
  <si>
    <t>CORRECCION DE BULUNERIA PANIER PA240</t>
  </si>
  <si>
    <t>RESOLUCIÓN DE NC VARIAS Y REDUCCIONES DE COSTO EN SGAU</t>
  </si>
  <si>
    <t>S-1320</t>
  </si>
  <si>
    <t>INCORPORACIÓN DE INSUMOS FALTANTES EN EU2C</t>
  </si>
  <si>
    <t>S-1321</t>
  </si>
  <si>
    <t>S-1322</t>
  </si>
  <si>
    <t>S-1323</t>
  </si>
  <si>
    <t>S-1324</t>
  </si>
  <si>
    <t>S-1325</t>
  </si>
  <si>
    <t>S-1326</t>
  </si>
  <si>
    <t>S-1327</t>
  </si>
  <si>
    <t>S-1328</t>
  </si>
  <si>
    <t>S-1329</t>
  </si>
  <si>
    <t>S-1330</t>
  </si>
  <si>
    <t>S-1331</t>
  </si>
  <si>
    <t>S-1332</t>
  </si>
  <si>
    <t>CORRECCION DE FORMULAS DE HORNOS PANIERA 3015 Y 3079, RESPECTO DEL CONJUNTO VARILLA PARA CLAPETA</t>
  </si>
  <si>
    <t>FE III-315 / 2P06</t>
  </si>
  <si>
    <t>MODIFICACION DE SOPORTE DE CAMPANA FE III-315</t>
  </si>
  <si>
    <t>INCORPORACIÓN DE TOLERANCIA DIMENSIONAL EN EJE DE UNIDAD DOSIFICADORA</t>
  </si>
  <si>
    <t>DOSIFICADOR A ENGRANAJES</t>
  </si>
  <si>
    <t>KITS NEUMATICOS</t>
  </si>
  <si>
    <t>SE ACTUALIZAN KIT NEUMATICOS AMBRO POR EVOLUCION DE COMPONENTES</t>
  </si>
  <si>
    <t>MODIFICACION DE CAMPANA EXTERNA PARA UNIFICACION DE MATERIALES</t>
  </si>
  <si>
    <t>FE II 960 (2N902) Y FE 4.0 960 (2N903) Y FE II 472 (2N40)</t>
  </si>
  <si>
    <t>MODIFICACION DE LONGITUD DE CONDUCTORES PAV90</t>
  </si>
  <si>
    <t>PA240 Y PA290</t>
  </si>
  <si>
    <t>G. MEDINA</t>
  </si>
  <si>
    <t>L FIGUEIRAS</t>
  </si>
  <si>
    <t>REEMPLAZO DE ESPEJO PARA SENSORES FOTOSENSIBLES POR CINTA REFLECTIVA</t>
  </si>
  <si>
    <t>ACTUALIZACIÓN DE FÓRMULA PARA BIZCOMATICA CAM220/60</t>
  </si>
  <si>
    <t>BIZCOMATICA</t>
  </si>
  <si>
    <t>MODIFICACIONES EN HORNO ROTATIVO FE III-315</t>
  </si>
  <si>
    <t xml:space="preserve">FE III-315 </t>
  </si>
  <si>
    <t>S-1333</t>
  </si>
  <si>
    <t>S-1334</t>
  </si>
  <si>
    <t>S-1335</t>
  </si>
  <si>
    <t>S-1336</t>
  </si>
  <si>
    <t>S-1337</t>
  </si>
  <si>
    <t>S-1338</t>
  </si>
  <si>
    <t>S-1339</t>
  </si>
  <si>
    <t>S-1340</t>
  </si>
  <si>
    <t>S-1341</t>
  </si>
  <si>
    <t>SE DEBE AGREGAR GRASA A VARIOS EQUIPOS, Y ACEITE A AMASADORA MBE-160HA POTENCIADA .</t>
  </si>
  <si>
    <t>FE II-472, DOSIFICADOR DE RELLENO, AMASADORAS</t>
  </si>
  <si>
    <t>SE SOLICITO CAMBIAR EL MATERIAL DE DICHA PIEZA MENCIONADA EN LA SM</t>
  </si>
  <si>
    <t>GRISINERA PANCHERA GP-70</t>
  </si>
  <si>
    <t>DISEÑO DE NUEVOS EMBALAJES TIPO CAJON PARA HORNOS</t>
  </si>
  <si>
    <t>HORNO FE 315 - CAMARA FERMENTACION 2C30 - HORNO DE PISO 2P06- HORNO PANIER PA 340- HORNO FE III 472</t>
  </si>
  <si>
    <t>FE 472</t>
  </si>
  <si>
    <t>Colocacion de asterisco (*) a insumos que se dan de baja en horno FE II</t>
  </si>
  <si>
    <t>ELIMINACION 222557 DE LAS PUERTAS DEL FE III-960 2N902</t>
  </si>
  <si>
    <t>CAMBIO CALCO POS. TERMOSTATO P-PA240 Y FE 4.0 472</t>
  </si>
  <si>
    <t>CAMBIO DE GABINETE DEL TABLERO DE POTENCIA</t>
  </si>
  <si>
    <t>MODIFICACIONES AMASADORAS MBE-160HA</t>
  </si>
  <si>
    <t>MODIFICACIONES EN AMASADORAS MBE80-200</t>
  </si>
  <si>
    <t>CORRECCIÓN EN EXTRACTOR DE ESTAMPA TRIANGULAR B130H110</t>
  </si>
  <si>
    <t>CORRECCIONES VARIAS MÁQUINAS MODULARES</t>
  </si>
  <si>
    <t>MODULARES ARGENTAL</t>
  </si>
  <si>
    <t>MODIFICACION DEL ANCHO DEL DUCTO DE AIRE DEL PA290, QUE NO ENTRA NI COINCIDE CON EL TECHO DE LA PARED DE REGISTRO</t>
  </si>
  <si>
    <t>PA290 -PANIER7090</t>
  </si>
  <si>
    <t>HOMOLOGACION DE MARCA DE SILICONA</t>
  </si>
  <si>
    <t>MBE-80U-S/MBE-200U-S</t>
  </si>
  <si>
    <t>SE AGREGA LISTADO VARIANTE 500204 EN CORBOL (COD:3177)</t>
  </si>
  <si>
    <t>S-1342</t>
  </si>
  <si>
    <t>SE MODIFICA EL LARGO DEL GANCHO DE PARRILLAS PARA AUMENTAR LA ZONA LIBRE PARA EXTRAER Y MONTAR ESTAMPAS EN LAS GUILLOTINAS AMBRO</t>
  </si>
  <si>
    <t>GUILLOTINA EW y EW-E AMBRO</t>
  </si>
  <si>
    <t>S-1343</t>
  </si>
  <si>
    <t>RETRACTIL 70/450 - RETRACTIL 70/400</t>
  </si>
  <si>
    <t>HOMOLOGACION RETRACTIL AMBRO</t>
  </si>
  <si>
    <t>S-1344</t>
  </si>
  <si>
    <t>TABLERO ELECTRICO AMBRO</t>
  </si>
  <si>
    <t>MINI-LÍNEA, COMPRESSLINE, CIABATTA, LINEA PIZZA 2.0</t>
  </si>
  <si>
    <t>S-1345</t>
  </si>
  <si>
    <t>DIVISORA BOLLERA PANIER</t>
  </si>
  <si>
    <t>MANUAL DIVISORA BOLLERA PANIER 30-100-30</t>
  </si>
  <si>
    <t>S-1346</t>
  </si>
  <si>
    <t>HOMOLOGACION DE REDUCTORES Y MOT. MARCA ANG</t>
  </si>
  <si>
    <t>S-1347</t>
  </si>
  <si>
    <t>MODIFICACION EN PROTECCIONES M-66 MODULAR</t>
  </si>
  <si>
    <t>S-1348</t>
  </si>
  <si>
    <t>CORRECCIÓN EN TOLERANCIAS DE ROLO CONDUCIDO Y TRANSVERSAL A4000</t>
  </si>
  <si>
    <t>AMB-032</t>
  </si>
  <si>
    <t>S-1349</t>
  </si>
  <si>
    <t>AGREGAR A FORMULA DEL PA290, PA290 LIDO Y FEIII-960 BULON CAB. HEXAG. M12x20 BIC</t>
  </si>
  <si>
    <t>PA290 Y FEIII-960</t>
  </si>
  <si>
    <t>HOMOLOGACION TORNADO PLUS E</t>
  </si>
  <si>
    <t>S-1350</t>
  </si>
  <si>
    <t>TORNADO PLUS E</t>
  </si>
  <si>
    <t>S-1351</t>
  </si>
  <si>
    <t xml:space="preserve">ACTUALIZACIÓN DE PLANO DE FLEJE TRABA </t>
  </si>
  <si>
    <t xml:space="preserve">HORNO FE 4.0-472/ FE III-960/ FE III-960 BIO Y HORNO PANIER PA290 / PA290 LIDO / PA240 </t>
  </si>
  <si>
    <t>S-1352</t>
  </si>
  <si>
    <t>MODIFICACION DE CHIMENEAS DE HORNOS</t>
  </si>
  <si>
    <t>HORNO FE III-960 / FE 4.0-472 / FE 4.0-960 / HORNO FE II-472</t>
  </si>
  <si>
    <t>S-1353</t>
  </si>
  <si>
    <t>ELIMINACION DEL GRABADO LASER 75 AÑOS ARGENTAL</t>
  </si>
  <si>
    <t>BAJA INSUMOS PANIER PA240</t>
  </si>
  <si>
    <t>S-1354</t>
  </si>
  <si>
    <t>S-1355</t>
  </si>
  <si>
    <t>INCORPORACIÓN DE TORNILLOS DE CONTRATAPA DE TABLERO ELÉCTRICO - TRANSPORTADOR DE BARRAS</t>
  </si>
  <si>
    <t>S-1356</t>
  </si>
  <si>
    <t>MODIFICACION CHAPA PATENTE HORNOS</t>
  </si>
  <si>
    <t>S-1358</t>
  </si>
  <si>
    <t>HORNOS ARGENTAL / PANIER</t>
  </si>
  <si>
    <t>S-1359</t>
  </si>
  <si>
    <t>ACTUALIZACIÓN DE PLANOS VIDRIOS INTERNOS Y EXTERNOS DE HORNOS</t>
  </si>
  <si>
    <t>HORNO FE III-472/ FE III-960/ FE III-315/ PA240</t>
  </si>
  <si>
    <t>S-1357</t>
  </si>
  <si>
    <t>MODIFICACION PIEZAS HORNOS VARIAS</t>
  </si>
  <si>
    <t>2N402-2N902-2N902</t>
  </si>
  <si>
    <t>2N402-2N902-2N902-</t>
  </si>
  <si>
    <t>ARREGLAR PROBLEMA BISAGRAS DE LAS PUERTAS</t>
  </si>
  <si>
    <t>REVISIÓN DE RESORTES DE ESTAMPAS AMBRO</t>
  </si>
  <si>
    <t>TORNADO PLUS - PLUS E</t>
  </si>
  <si>
    <t>S-1360</t>
  </si>
  <si>
    <t>S-1361</t>
  </si>
  <si>
    <t>CORRECCIÓN EN SENSORES DE TRANSPORTADOR INCLINADO</t>
  </si>
  <si>
    <t>S-1362</t>
  </si>
  <si>
    <t>SP</t>
  </si>
  <si>
    <t>S-1363</t>
  </si>
  <si>
    <t>S-1364</t>
  </si>
  <si>
    <t>S-1365</t>
  </si>
  <si>
    <t>S-1366</t>
  </si>
  <si>
    <t>S-1367</t>
  </si>
  <si>
    <t>S-1368</t>
  </si>
  <si>
    <t>S-1369</t>
  </si>
  <si>
    <t>S-1370</t>
  </si>
  <si>
    <t>S-1371</t>
  </si>
  <si>
    <t>S-1372</t>
  </si>
  <si>
    <t>S-1373</t>
  </si>
  <si>
    <t>S-1374</t>
  </si>
  <si>
    <t>S-1375</t>
  </si>
  <si>
    <t>S-1376</t>
  </si>
  <si>
    <t>S-1377</t>
  </si>
  <si>
    <t>S-1378</t>
  </si>
  <si>
    <t>S-1379</t>
  </si>
  <si>
    <t>S-1380</t>
  </si>
  <si>
    <t>S-1381</t>
  </si>
  <si>
    <t>S-1382</t>
  </si>
  <si>
    <t>S-1383</t>
  </si>
  <si>
    <t>CORRECIONES Y MEJORAS EN SEPARADOR DE PANES</t>
  </si>
  <si>
    <t>ACTULIZACION DE PLANO DE RAMPA ACCESO HORNO 2N90</t>
  </si>
  <si>
    <t>FE II-960</t>
  </si>
  <si>
    <t>ESPECIFICACION DE PINTURA EN PIEZAS DE HORNOS</t>
  </si>
  <si>
    <t>UNIFICACIÓN EN BULONERÍA CAB. TANQUE ALLEN INOX M6</t>
  </si>
  <si>
    <t>AMASADORAS - COMPRESSLINE - TORNADO - 2N402 - 2N902 - 2N903 - PA340 - TI</t>
  </si>
  <si>
    <t>HOMOLOGACION DEL HORNO FE 4.0 -472 CON TODAS SUS VARIANTES</t>
  </si>
  <si>
    <t>HORNOS FE 4.0 472</t>
  </si>
  <si>
    <t>HORNOS / AMASADORAS</t>
  </si>
  <si>
    <t>EL PROVEEDOR SOLICITA BAJAR LA PROFUNDIDAD DE LOS AGUJEROS EN LOS CEPILLOS HARINADORES</t>
  </si>
  <si>
    <t>HARINADOR AMBRO</t>
  </si>
  <si>
    <t>MEJORAS EN EL ANIDAMIENTO DE PIEZAS ESMERILADAS - CIERRE DE NC VARIAS</t>
  </si>
  <si>
    <t>HORNOS FE III 960</t>
  </si>
  <si>
    <t>MODIFICACIONES PIEZAS FE III 960</t>
  </si>
  <si>
    <t>CORRECCIÓN EN INSUMOS EJE Y REDUCTOR DE GP70</t>
  </si>
  <si>
    <t xml:space="preserve">REEMPLAZO LANA DE ROCA </t>
  </si>
  <si>
    <t>MODIFICACIONES EN PIEZAS DE BLIND Y C4000</t>
  </si>
  <si>
    <t>BLIND / C4000</t>
  </si>
  <si>
    <t>MODIFICAR POSICIÓN DE SENSOR INDUCTIVO DE PUERTA</t>
  </si>
  <si>
    <t>FE 4.0 472</t>
  </si>
  <si>
    <t>REEMPLAZO DE LONA DE PVC GSTR POR PN</t>
  </si>
  <si>
    <t>SGAU / GT-38 / GTC / GTCG / GT-MINI</t>
  </si>
  <si>
    <t>CORRECCIÓN DE BULONERÍA - DB1200</t>
  </si>
  <si>
    <t>FE3-960 / PANIER 7090</t>
  </si>
  <si>
    <t>SOPORTE DE TEMPORIZADOR EN HORNOS ELECTROMECANICOS</t>
  </si>
  <si>
    <t>MODIFICACION DE REFUERZOS DE CABEZAL MBE-160HA</t>
  </si>
  <si>
    <t>CORRECCION RELEVO TERMICO EN PLANO ELECTRICO T220 DE CORBOL</t>
  </si>
  <si>
    <t>REPROCESO ROLO TRACTOR CABEZAL ARG-032-013Z Y MONTAJE LONA EL TABLA CALIBRADORA</t>
  </si>
  <si>
    <t>AMASADORA MBE 80-160-200</t>
  </si>
  <si>
    <t>MODIFICACION Y REVISION DE PLANOS AMASADORA MBE 80, 160 Y 200</t>
  </si>
  <si>
    <t>HOMOLOGACION HORNO PANIER III-4570 (PA340)</t>
  </si>
  <si>
    <t>PA340</t>
  </si>
  <si>
    <t>MODIFICACION RANURA DE SOPORTE CABEZAL CORTADOR EU2C-MODULAR P-CHA</t>
  </si>
  <si>
    <t>CAMBIO DEL TRANSPORTADOR DE ENTRADA Y SEGURIDAD AMBRO 4000</t>
  </si>
  <si>
    <t>REEMPLAZO LANA DE VIDRIO</t>
  </si>
  <si>
    <t>S-1384</t>
  </si>
  <si>
    <t>S-1385</t>
  </si>
  <si>
    <t>CALCO DE ORIGEN, REDUCCION DE TAMAÑO, TIPOGRAFIA Y  CAMBIO DE ORDEN</t>
  </si>
  <si>
    <t>S-1386</t>
  </si>
  <si>
    <t>SE MODIFICA LA PROTECCION DEL RETRACTIL DE LA AMBRO 4000 PARA EL MON TAJE DE UN SENSOR DE SEGURIDAD STI</t>
  </si>
  <si>
    <t>S-1387</t>
  </si>
  <si>
    <t>SE UNIFICAN ARANDELAS SIMILARES A ARAND. 243078</t>
  </si>
  <si>
    <t>GT MINI</t>
  </si>
  <si>
    <t>S-1388</t>
  </si>
  <si>
    <t>S-1389</t>
  </si>
  <si>
    <t>MODIFICACION DE MEDIDA ENGRANAJE COD: 205749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</si>
</sst>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&quot;$&quot;\ #,##0;[Red]\-&quot;$&quot;\ #,##0"/>
    <numFmt numFmtId="165" formatCode="dd/mm/yy;@"/>
    <numFmt numFmtId="166" formatCode="dd/mm/yyyy"/>
    <numFmt numFmtId="167" formatCode="&quot;$ &quot;#,##0.00"/>
    <numFmt numFmtId="168" formatCode="&quot;$ &quot;#,##0.0"/>
    <numFmt numFmtId="169" formatCode="&quot;$ &quot;#,##0"/>
    <numFmt numFmtId="170" formatCode="[$$-2C0A]#,##0.00;[Red]\([$$-2C0A]#,##0.00\)"/>
    <numFmt numFmtId="171" formatCode="[$USD]\ #,##0.00"/>
    <numFmt numFmtId="172" formatCode="[$USD]\ #,##0"/>
    <numFmt numFmtId="173" formatCode="_-&quot;$ &quot;* #,##0.00_-;&quot;-$ &quot;* #,##0.00_-;_-&quot;$ &quot;* \-??_-;_-@_-"/>
    <numFmt numFmtId="174" formatCode="_-[$USD]\ * #,##0.00_-;\-[$USD]\ * #,##0.00_-;_-[$USD]\ * \-??_-;_-@_-"/>
    <numFmt numFmtId="175" formatCode="_-* #,##0.00_-;\-* #,##0.00_-;_-* \-??_-;_-@_-"/>
    <numFmt numFmtId="179" formatCode="&quot;$&quot;\ #,##0.00"/>
    <numFmt numFmtId="180" formatCode="&quot;$&quot;\ #,##0"/>
  </numFmts>
  <fonts count="14" x14ac:knownFonts="1">
    <font>
      <sz val="10"/>
      <name val="Arial"/>
      <charset val="1"/>
    </font>
    <font>
      <b/>
      <sz val="12"/>
      <name val="Calibri"/>
      <family val="2"/>
      <charset val="1"/>
    </font>
    <font>
      <b/>
      <sz val="16"/>
      <name val="Trebuchet MS"/>
      <family val="2"/>
      <charset val="1"/>
    </font>
    <font>
      <b/>
      <sz val="12"/>
      <name val="Trebuchet MS"/>
      <family val="2"/>
      <charset val="1"/>
    </font>
    <font>
      <sz val="12"/>
      <name val="Calibri"/>
      <family val="2"/>
      <charset val="1"/>
    </font>
    <font>
      <b/>
      <sz val="9"/>
      <name val="Arial"/>
      <family val="2"/>
      <charset val="1"/>
    </font>
    <font>
      <sz val="9"/>
      <name val="Arial"/>
      <family val="2"/>
      <charset val="1"/>
    </font>
    <font>
      <sz val="10"/>
      <color rgb="FF000000"/>
      <name val="Arial"/>
      <family val="2"/>
      <charset val="1"/>
    </font>
    <font>
      <sz val="10"/>
      <name val="Arial"/>
      <family val="2"/>
      <charset val="1"/>
    </font>
    <font>
      <sz val="9"/>
      <color rgb="FF000000"/>
      <name val="Arial"/>
      <family val="2"/>
      <charset val="1"/>
    </font>
    <font>
      <sz val="10"/>
      <name val="Arial"/>
      <family val="2"/>
    </font>
    <font>
      <sz val="12"/>
      <color rgb="FF222222"/>
      <name val="Arial"/>
      <family val="2"/>
    </font>
    <font>
      <sz val="8"/>
      <name val="Arial"/>
      <family val="2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69696"/>
        <bgColor rgb="FF808080"/>
      </patternFill>
    </fill>
    <fill>
      <patternFill patternType="solid">
        <fgColor rgb="FF00CCFF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FFFFFF"/>
        <bgColor rgb="FFFFFFCC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</borders>
  <cellStyleXfs count="3">
    <xf numFmtId="0" fontId="0" fillId="0" borderId="0"/>
    <xf numFmtId="175" fontId="10" fillId="0" borderId="0" applyBorder="0" applyProtection="0"/>
    <xf numFmtId="173" fontId="10" fillId="0" borderId="0" applyBorder="0" applyProtection="0"/>
  </cellStyleXfs>
  <cellXfs count="18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4" fillId="0" borderId="0" xfId="0" applyFont="1"/>
    <xf numFmtId="0" fontId="0" fillId="0" borderId="3" xfId="0" applyBorder="1" applyAlignment="1">
      <alignment vertical="center"/>
    </xf>
    <xf numFmtId="49" fontId="7" fillId="0" borderId="3" xfId="0" applyNumberFormat="1" applyFont="1" applyBorder="1" applyAlignment="1">
      <alignment horizontal="center" vertical="center"/>
    </xf>
    <xf numFmtId="166" fontId="0" fillId="0" borderId="3" xfId="0" applyNumberFormat="1" applyBorder="1" applyAlignment="1">
      <alignment vertical="center"/>
    </xf>
    <xf numFmtId="0" fontId="0" fillId="0" borderId="3" xfId="0" applyBorder="1" applyAlignment="1">
      <alignment vertical="center" wrapText="1"/>
    </xf>
    <xf numFmtId="167" fontId="6" fillId="0" borderId="3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65" fontId="6" fillId="0" borderId="6" xfId="0" applyNumberFormat="1" applyFont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8" fillId="0" borderId="3" xfId="0" applyFont="1" applyBorder="1" applyAlignment="1" applyProtection="1">
      <alignment vertical="center"/>
      <protection locked="0"/>
    </xf>
    <xf numFmtId="165" fontId="8" fillId="0" borderId="3" xfId="0" applyNumberFormat="1" applyFont="1" applyBorder="1" applyAlignment="1">
      <alignment horizontal="right" vertical="center"/>
    </xf>
    <xf numFmtId="166" fontId="7" fillId="0" borderId="3" xfId="0" applyNumberFormat="1" applyFont="1" applyBorder="1" applyAlignment="1" applyProtection="1">
      <alignment horizontal="left" vertical="center"/>
      <protection locked="0"/>
    </xf>
    <xf numFmtId="166" fontId="7" fillId="0" borderId="3" xfId="0" applyNumberFormat="1" applyFont="1" applyBorder="1" applyAlignment="1" applyProtection="1">
      <alignment horizontal="center" vertical="center"/>
      <protection locked="0"/>
    </xf>
    <xf numFmtId="166" fontId="8" fillId="0" borderId="3" xfId="0" applyNumberFormat="1" applyFont="1" applyBorder="1" applyAlignment="1" applyProtection="1">
      <alignment horizontal="left" vertical="center" wrapText="1"/>
      <protection locked="0"/>
    </xf>
    <xf numFmtId="0" fontId="7" fillId="0" borderId="3" xfId="0" applyFont="1" applyBorder="1" applyAlignment="1" applyProtection="1">
      <alignment horizontal="left" vertical="center" wrapText="1"/>
      <protection locked="0"/>
    </xf>
    <xf numFmtId="0" fontId="8" fillId="0" borderId="3" xfId="0" applyFont="1" applyBorder="1" applyAlignment="1" applyProtection="1">
      <alignment horizontal="left" vertical="center" wrapText="1"/>
      <protection locked="0"/>
    </xf>
    <xf numFmtId="165" fontId="8" fillId="0" borderId="1" xfId="0" applyNumberFormat="1" applyFont="1" applyBorder="1" applyAlignment="1" applyProtection="1">
      <alignment horizontal="center" vertical="center"/>
      <protection locked="0"/>
    </xf>
    <xf numFmtId="0" fontId="8" fillId="0" borderId="1" xfId="0" applyFont="1" applyBorder="1" applyAlignment="1" applyProtection="1">
      <alignment horizontal="left" vertical="center"/>
      <protection locked="0"/>
    </xf>
    <xf numFmtId="167" fontId="8" fillId="0" borderId="3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165" fontId="8" fillId="0" borderId="6" xfId="0" applyNumberFormat="1" applyFont="1" applyBorder="1" applyAlignment="1">
      <alignment horizontal="center" vertical="center"/>
    </xf>
    <xf numFmtId="0" fontId="0" fillId="0" borderId="5" xfId="0" applyBorder="1"/>
    <xf numFmtId="0" fontId="0" fillId="0" borderId="3" xfId="0" applyBorder="1"/>
    <xf numFmtId="0" fontId="6" fillId="0" borderId="0" xfId="0" applyFont="1"/>
    <xf numFmtId="0" fontId="8" fillId="0" borderId="3" xfId="0" applyFont="1" applyBorder="1" applyProtection="1">
      <protection locked="0"/>
    </xf>
    <xf numFmtId="165" fontId="8" fillId="0" borderId="3" xfId="0" applyNumberFormat="1" applyFont="1" applyBorder="1" applyAlignment="1">
      <alignment horizontal="center"/>
    </xf>
    <xf numFmtId="166" fontId="7" fillId="0" borderId="3" xfId="0" applyNumberFormat="1" applyFont="1" applyBorder="1" applyAlignment="1" applyProtection="1">
      <alignment horizontal="center"/>
      <protection locked="0"/>
    </xf>
    <xf numFmtId="166" fontId="8" fillId="0" borderId="3" xfId="0" applyNumberFormat="1" applyFont="1" applyBorder="1" applyAlignment="1" applyProtection="1">
      <alignment horizontal="left" wrapText="1"/>
      <protection locked="0"/>
    </xf>
    <xf numFmtId="0" fontId="7" fillId="0" borderId="3" xfId="0" applyFont="1" applyBorder="1" applyAlignment="1" applyProtection="1">
      <alignment horizontal="center" wrapText="1"/>
      <protection locked="0"/>
    </xf>
    <xf numFmtId="0" fontId="8" fillId="0" borderId="3" xfId="0" applyFont="1" applyBorder="1" applyAlignment="1" applyProtection="1">
      <alignment horizontal="center" wrapText="1"/>
      <protection locked="0"/>
    </xf>
    <xf numFmtId="165" fontId="8" fillId="0" borderId="1" xfId="0" applyNumberFormat="1" applyFont="1" applyBorder="1" applyAlignment="1" applyProtection="1">
      <alignment horizontal="center"/>
      <protection locked="0"/>
    </xf>
    <xf numFmtId="0" fontId="8" fillId="0" borderId="1" xfId="0" applyFont="1" applyBorder="1" applyAlignment="1" applyProtection="1">
      <alignment horizontal="center"/>
      <protection locked="0"/>
    </xf>
    <xf numFmtId="0" fontId="0" fillId="0" borderId="5" xfId="0" applyBorder="1" applyAlignment="1">
      <alignment vertical="center" wrapText="1"/>
    </xf>
    <xf numFmtId="0" fontId="0" fillId="0" borderId="9" xfId="0" applyBorder="1"/>
    <xf numFmtId="166" fontId="7" fillId="0" borderId="10" xfId="0" applyNumberFormat="1" applyFont="1" applyBorder="1" applyAlignment="1" applyProtection="1">
      <alignment horizontal="center"/>
      <protection locked="0"/>
    </xf>
    <xf numFmtId="166" fontId="8" fillId="0" borderId="10" xfId="0" applyNumberFormat="1" applyFont="1" applyBorder="1" applyAlignment="1" applyProtection="1">
      <alignment horizontal="left" wrapText="1"/>
      <protection locked="0"/>
    </xf>
    <xf numFmtId="0" fontId="7" fillId="0" borderId="10" xfId="0" applyFont="1" applyBorder="1" applyAlignment="1" applyProtection="1">
      <alignment horizontal="center" wrapText="1"/>
      <protection locked="0"/>
    </xf>
    <xf numFmtId="0" fontId="8" fillId="0" borderId="10" xfId="0" applyFont="1" applyBorder="1" applyAlignment="1" applyProtection="1">
      <alignment horizontal="center" wrapText="1"/>
      <protection locked="0"/>
    </xf>
    <xf numFmtId="165" fontId="8" fillId="0" borderId="11" xfId="0" applyNumberFormat="1" applyFont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7" fontId="8" fillId="0" borderId="10" xfId="0" applyNumberFormat="1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166" fontId="8" fillId="0" borderId="0" xfId="0" applyNumberFormat="1" applyFont="1"/>
    <xf numFmtId="166" fontId="7" fillId="0" borderId="1" xfId="0" applyNumberFormat="1" applyFont="1" applyBorder="1" applyAlignment="1" applyProtection="1">
      <alignment horizontal="center"/>
      <protection locked="0"/>
    </xf>
    <xf numFmtId="0" fontId="8" fillId="0" borderId="3" xfId="0" applyFont="1" applyBorder="1"/>
    <xf numFmtId="166" fontId="8" fillId="0" borderId="3" xfId="0" applyNumberFormat="1" applyFont="1" applyBorder="1"/>
    <xf numFmtId="0" fontId="8" fillId="0" borderId="6" xfId="0" applyFont="1" applyBorder="1" applyAlignment="1">
      <alignment horizontal="center" vertical="center"/>
    </xf>
    <xf numFmtId="0" fontId="0" fillId="0" borderId="9" xfId="0" applyBorder="1" applyAlignment="1">
      <alignment vertical="center" wrapText="1"/>
    </xf>
    <xf numFmtId="165" fontId="8" fillId="0" borderId="3" xfId="0" applyNumberFormat="1" applyFont="1" applyBorder="1" applyAlignment="1" applyProtection="1">
      <alignment horizontal="center"/>
      <protection locked="0"/>
    </xf>
    <xf numFmtId="0" fontId="8" fillId="0" borderId="3" xfId="0" applyFont="1" applyBorder="1" applyAlignment="1" applyProtection="1">
      <alignment horizontal="center"/>
      <protection locked="0"/>
    </xf>
    <xf numFmtId="165" fontId="8" fillId="0" borderId="3" xfId="0" applyNumberFormat="1" applyFont="1" applyBorder="1" applyAlignment="1">
      <alignment horizontal="center" vertical="center"/>
    </xf>
    <xf numFmtId="166" fontId="7" fillId="0" borderId="12" xfId="0" applyNumberFormat="1" applyFont="1" applyBorder="1" applyAlignment="1" applyProtection="1">
      <alignment horizontal="center" vertical="center"/>
      <protection locked="0"/>
    </xf>
    <xf numFmtId="166" fontId="8" fillId="0" borderId="12" xfId="0" applyNumberFormat="1" applyFont="1" applyBorder="1" applyAlignment="1" applyProtection="1">
      <alignment horizontal="left" vertical="center" wrapText="1"/>
      <protection locked="0"/>
    </xf>
    <xf numFmtId="0" fontId="7" fillId="0" borderId="12" xfId="0" applyFont="1" applyBorder="1" applyAlignment="1" applyProtection="1">
      <alignment horizontal="center" vertical="center" wrapText="1"/>
      <protection locked="0"/>
    </xf>
    <xf numFmtId="0" fontId="8" fillId="0" borderId="12" xfId="0" applyFont="1" applyBorder="1" applyAlignment="1" applyProtection="1">
      <alignment horizontal="center" vertical="center" wrapText="1"/>
      <protection locked="0"/>
    </xf>
    <xf numFmtId="165" fontId="8" fillId="0" borderId="4" xfId="0" applyNumberFormat="1" applyFont="1" applyBorder="1" applyAlignment="1" applyProtection="1">
      <alignment horizontal="center" vertical="center"/>
      <protection locked="0"/>
    </xf>
    <xf numFmtId="0" fontId="8" fillId="0" borderId="4" xfId="0" applyFont="1" applyBorder="1" applyAlignment="1" applyProtection="1">
      <alignment horizontal="center" vertical="center"/>
      <protection locked="0"/>
    </xf>
    <xf numFmtId="167" fontId="8" fillId="0" borderId="12" xfId="0" applyNumberFormat="1" applyFont="1" applyBorder="1" applyAlignment="1">
      <alignment horizontal="center" vertical="center"/>
    </xf>
    <xf numFmtId="0" fontId="8" fillId="0" borderId="0" xfId="0" applyFont="1"/>
    <xf numFmtId="0" fontId="7" fillId="0" borderId="3" xfId="0" applyFont="1" applyBorder="1" applyAlignment="1" applyProtection="1">
      <alignment horizontal="center" vertical="center" wrapText="1"/>
      <protection locked="0"/>
    </xf>
    <xf numFmtId="0" fontId="8" fillId="0" borderId="3" xfId="0" applyFont="1" applyBorder="1" applyAlignment="1" applyProtection="1">
      <alignment horizontal="center" vertical="center" wrapText="1"/>
      <protection locked="0"/>
    </xf>
    <xf numFmtId="0" fontId="8" fillId="0" borderId="1" xfId="0" applyFont="1" applyBorder="1" applyAlignment="1" applyProtection="1">
      <alignment horizontal="center" vertical="center"/>
      <protection locked="0"/>
    </xf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4" fontId="0" fillId="0" borderId="0" xfId="0" applyNumberFormat="1"/>
    <xf numFmtId="170" fontId="8" fillId="0" borderId="3" xfId="0" applyNumberFormat="1" applyFont="1" applyBorder="1" applyAlignment="1">
      <alignment horizontal="center" vertical="center"/>
    </xf>
    <xf numFmtId="0" fontId="6" fillId="0" borderId="3" xfId="0" applyFont="1" applyBorder="1" applyProtection="1">
      <protection locked="0"/>
    </xf>
    <xf numFmtId="165" fontId="6" fillId="0" borderId="3" xfId="0" applyNumberFormat="1" applyFont="1" applyBorder="1" applyAlignment="1">
      <alignment horizontal="center"/>
    </xf>
    <xf numFmtId="166" fontId="9" fillId="0" borderId="3" xfId="0" applyNumberFormat="1" applyFont="1" applyBorder="1" applyAlignment="1" applyProtection="1">
      <alignment horizontal="center"/>
      <protection locked="0"/>
    </xf>
    <xf numFmtId="166" fontId="6" fillId="0" borderId="3" xfId="0" applyNumberFormat="1" applyFont="1" applyBorder="1" applyAlignment="1" applyProtection="1">
      <alignment horizontal="left" wrapText="1"/>
      <protection locked="0"/>
    </xf>
    <xf numFmtId="0" fontId="9" fillId="0" borderId="3" xfId="0" applyFont="1" applyBorder="1" applyAlignment="1" applyProtection="1">
      <alignment horizontal="center" wrapText="1"/>
      <protection locked="0"/>
    </xf>
    <xf numFmtId="0" fontId="6" fillId="0" borderId="3" xfId="0" applyFont="1" applyBorder="1" applyAlignment="1" applyProtection="1">
      <alignment horizontal="center" wrapText="1"/>
      <protection locked="0"/>
    </xf>
    <xf numFmtId="165" fontId="6" fillId="0" borderId="1" xfId="0" applyNumberFormat="1" applyFont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49" fontId="9" fillId="0" borderId="6" xfId="0" applyNumberFormat="1" applyFont="1" applyBorder="1" applyAlignment="1">
      <alignment horizontal="center"/>
    </xf>
    <xf numFmtId="0" fontId="6" fillId="0" borderId="10" xfId="0" applyFont="1" applyBorder="1" applyProtection="1">
      <protection locked="0"/>
    </xf>
    <xf numFmtId="49" fontId="9" fillId="0" borderId="13" xfId="0" applyNumberFormat="1" applyFont="1" applyBorder="1" applyAlignment="1">
      <alignment horizontal="center"/>
    </xf>
    <xf numFmtId="165" fontId="6" fillId="0" borderId="10" xfId="0" applyNumberFormat="1" applyFont="1" applyBorder="1" applyAlignment="1">
      <alignment horizontal="center"/>
    </xf>
    <xf numFmtId="166" fontId="9" fillId="0" borderId="10" xfId="0" applyNumberFormat="1" applyFont="1" applyBorder="1" applyAlignment="1" applyProtection="1">
      <alignment horizontal="center"/>
      <protection locked="0"/>
    </xf>
    <xf numFmtId="166" fontId="6" fillId="0" borderId="10" xfId="0" applyNumberFormat="1" applyFont="1" applyBorder="1" applyAlignment="1" applyProtection="1">
      <alignment horizontal="left" wrapText="1"/>
      <protection locked="0"/>
    </xf>
    <xf numFmtId="0" fontId="9" fillId="0" borderId="10" xfId="0" applyFont="1" applyBorder="1" applyAlignment="1" applyProtection="1">
      <alignment horizontal="center" wrapText="1"/>
      <protection locked="0"/>
    </xf>
    <xf numFmtId="0" fontId="6" fillId="0" borderId="10" xfId="0" applyFont="1" applyBorder="1" applyAlignment="1" applyProtection="1">
      <alignment horizontal="center" wrapText="1"/>
      <protection locked="0"/>
    </xf>
    <xf numFmtId="165" fontId="6" fillId="0" borderId="11" xfId="0" applyNumberFormat="1" applyFont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167" fontId="6" fillId="0" borderId="10" xfId="0" applyNumberFormat="1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165" fontId="6" fillId="0" borderId="13" xfId="0" applyNumberFormat="1" applyFont="1" applyBorder="1" applyAlignment="1">
      <alignment horizontal="center" vertical="center"/>
    </xf>
    <xf numFmtId="49" fontId="9" fillId="0" borderId="3" xfId="0" applyNumberFormat="1" applyFont="1" applyBorder="1" applyAlignment="1">
      <alignment horizontal="center"/>
    </xf>
    <xf numFmtId="166" fontId="0" fillId="0" borderId="3" xfId="0" applyNumberFormat="1" applyBorder="1"/>
    <xf numFmtId="0" fontId="0" fillId="0" borderId="3" xfId="0" applyBorder="1" applyAlignment="1">
      <alignment horizontal="center"/>
    </xf>
    <xf numFmtId="0" fontId="6" fillId="0" borderId="3" xfId="0" applyFont="1" applyBorder="1" applyAlignment="1" applyProtection="1">
      <alignment horizontal="center"/>
      <protection locked="0"/>
    </xf>
    <xf numFmtId="49" fontId="7" fillId="0" borderId="3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wrapText="1"/>
    </xf>
    <xf numFmtId="0" fontId="0" fillId="0" borderId="3" xfId="0" applyBorder="1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166" fontId="0" fillId="0" borderId="3" xfId="0" applyNumberForma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0" fontId="6" fillId="0" borderId="3" xfId="0" applyFont="1" applyBorder="1" applyAlignment="1" applyProtection="1">
      <alignment vertical="center"/>
      <protection locked="0"/>
    </xf>
    <xf numFmtId="49" fontId="9" fillId="0" borderId="6" xfId="0" applyNumberFormat="1" applyFont="1" applyBorder="1" applyAlignment="1">
      <alignment horizontal="center" vertical="center"/>
    </xf>
    <xf numFmtId="165" fontId="6" fillId="0" borderId="3" xfId="0" applyNumberFormat="1" applyFont="1" applyBorder="1" applyAlignment="1">
      <alignment horizontal="center" vertical="center"/>
    </xf>
    <xf numFmtId="166" fontId="9" fillId="0" borderId="3" xfId="0" applyNumberFormat="1" applyFont="1" applyBorder="1" applyAlignment="1" applyProtection="1">
      <alignment horizontal="center" vertical="center"/>
      <protection locked="0"/>
    </xf>
    <xf numFmtId="166" fontId="6" fillId="0" borderId="3" xfId="0" applyNumberFormat="1" applyFont="1" applyBorder="1" applyAlignment="1" applyProtection="1">
      <alignment horizontal="left" vertical="center" wrapText="1"/>
      <protection locked="0"/>
    </xf>
    <xf numFmtId="0" fontId="9" fillId="0" borderId="3" xfId="0" applyFont="1" applyBorder="1" applyAlignment="1" applyProtection="1">
      <alignment horizontal="center" vertical="center" wrapText="1"/>
      <protection locked="0"/>
    </xf>
    <xf numFmtId="0" fontId="6" fillId="0" borderId="3" xfId="0" applyFont="1" applyBorder="1" applyAlignment="1" applyProtection="1">
      <alignment horizontal="center" vertical="center" wrapText="1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169" fontId="6" fillId="0" borderId="3" xfId="0" applyNumberFormat="1" applyFont="1" applyBorder="1" applyAlignment="1">
      <alignment horizontal="center" vertical="center"/>
    </xf>
    <xf numFmtId="0" fontId="6" fillId="0" borderId="14" xfId="0" applyFont="1" applyBorder="1" applyProtection="1">
      <protection locked="0"/>
    </xf>
    <xf numFmtId="49" fontId="9" fillId="0" borderId="15" xfId="0" applyNumberFormat="1" applyFont="1" applyBorder="1" applyAlignment="1">
      <alignment horizontal="center"/>
    </xf>
    <xf numFmtId="171" fontId="6" fillId="0" borderId="3" xfId="0" applyNumberFormat="1" applyFont="1" applyBorder="1" applyAlignment="1">
      <alignment horizontal="center" vertical="center"/>
    </xf>
    <xf numFmtId="0" fontId="6" fillId="0" borderId="3" xfId="0" applyFont="1" applyBorder="1" applyAlignment="1" applyProtection="1">
      <alignment horizontal="center" vertical="center"/>
      <protection locked="0"/>
    </xf>
    <xf numFmtId="167" fontId="6" fillId="0" borderId="3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66" fontId="6" fillId="0" borderId="3" xfId="0" applyNumberFormat="1" applyFont="1" applyBorder="1" applyAlignment="1" applyProtection="1">
      <alignment horizontal="center" wrapText="1"/>
      <protection locked="0"/>
    </xf>
    <xf numFmtId="0" fontId="8" fillId="0" borderId="0" xfId="0" applyFont="1" applyAlignment="1">
      <alignment wrapText="1"/>
    </xf>
    <xf numFmtId="172" fontId="6" fillId="0" borderId="3" xfId="0" applyNumberFormat="1" applyFont="1" applyBorder="1" applyAlignment="1">
      <alignment horizontal="center" vertical="center"/>
    </xf>
    <xf numFmtId="174" fontId="6" fillId="0" borderId="3" xfId="2" applyNumberFormat="1" applyFont="1" applyBorder="1" applyAlignment="1" applyProtection="1">
      <alignment horizontal="center" vertical="center"/>
    </xf>
    <xf numFmtId="49" fontId="6" fillId="0" borderId="3" xfId="0" applyNumberFormat="1" applyFont="1" applyBorder="1" applyAlignment="1">
      <alignment horizontal="center" vertical="center"/>
    </xf>
    <xf numFmtId="2" fontId="6" fillId="0" borderId="3" xfId="0" applyNumberFormat="1" applyFont="1" applyBorder="1" applyAlignment="1">
      <alignment horizontal="center" vertical="center"/>
    </xf>
    <xf numFmtId="167" fontId="6" fillId="5" borderId="3" xfId="0" applyNumberFormat="1" applyFont="1" applyFill="1" applyBorder="1" applyAlignment="1">
      <alignment horizontal="center" vertical="center"/>
    </xf>
    <xf numFmtId="1" fontId="6" fillId="0" borderId="3" xfId="0" applyNumberFormat="1" applyFont="1" applyBorder="1" applyAlignment="1">
      <alignment horizontal="center" vertical="center"/>
    </xf>
    <xf numFmtId="166" fontId="6" fillId="0" borderId="3" xfId="0" applyNumberFormat="1" applyFont="1" applyBorder="1" applyAlignment="1" applyProtection="1">
      <alignment wrapText="1"/>
      <protection locked="0"/>
    </xf>
    <xf numFmtId="166" fontId="6" fillId="0" borderId="3" xfId="0" applyNumberFormat="1" applyFont="1" applyBorder="1" applyAlignment="1" applyProtection="1">
      <alignment horizontal="center" vertical="center" wrapText="1"/>
      <protection locked="0"/>
    </xf>
    <xf numFmtId="166" fontId="6" fillId="0" borderId="14" xfId="0" applyNumberFormat="1" applyFont="1" applyBorder="1" applyAlignment="1" applyProtection="1">
      <alignment horizontal="left" wrapText="1"/>
      <protection locked="0"/>
    </xf>
    <xf numFmtId="14" fontId="8" fillId="0" borderId="3" xfId="0" applyNumberFormat="1" applyFont="1" applyBorder="1" applyAlignment="1">
      <alignment horizontal="center" vertical="center"/>
    </xf>
    <xf numFmtId="164" fontId="11" fillId="0" borderId="0" xfId="0" applyNumberFormat="1" applyFont="1"/>
    <xf numFmtId="0" fontId="11" fillId="0" borderId="0" xfId="0" applyFont="1"/>
    <xf numFmtId="0" fontId="8" fillId="0" borderId="3" xfId="0" applyFont="1" applyBorder="1" applyAlignment="1">
      <alignment vertical="center"/>
    </xf>
    <xf numFmtId="14" fontId="8" fillId="0" borderId="3" xfId="0" applyNumberFormat="1" applyFont="1" applyBorder="1" applyAlignment="1">
      <alignment vertical="center"/>
    </xf>
    <xf numFmtId="166" fontId="8" fillId="0" borderId="3" xfId="0" applyNumberFormat="1" applyFont="1" applyBorder="1" applyAlignment="1">
      <alignment vertical="center"/>
    </xf>
    <xf numFmtId="0" fontId="8" fillId="0" borderId="0" xfId="0" applyFont="1" applyAlignment="1">
      <alignment vertical="center"/>
    </xf>
    <xf numFmtId="14" fontId="0" fillId="0" borderId="3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 wrapText="1"/>
    </xf>
    <xf numFmtId="173" fontId="10" fillId="0" borderId="3" xfId="2" applyBorder="1"/>
    <xf numFmtId="173" fontId="10" fillId="0" borderId="3" xfId="2" applyBorder="1" applyAlignment="1">
      <alignment vertical="center"/>
    </xf>
    <xf numFmtId="0" fontId="13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14" fontId="0" fillId="0" borderId="3" xfId="0" applyNumberFormat="1" applyBorder="1"/>
    <xf numFmtId="0" fontId="10" fillId="0" borderId="3" xfId="0" applyFont="1" applyBorder="1"/>
    <xf numFmtId="179" fontId="10" fillId="0" borderId="3" xfId="2" applyNumberFormat="1" applyBorder="1" applyAlignment="1">
      <alignment horizontal="center" vertical="center"/>
    </xf>
    <xf numFmtId="179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wrapText="1"/>
    </xf>
    <xf numFmtId="179" fontId="0" fillId="0" borderId="3" xfId="0" applyNumberFormat="1" applyBorder="1"/>
    <xf numFmtId="179" fontId="0" fillId="0" borderId="3" xfId="0" applyNumberFormat="1" applyBorder="1" applyAlignment="1">
      <alignment vertical="center"/>
    </xf>
    <xf numFmtId="179" fontId="0" fillId="0" borderId="0" xfId="0" applyNumberFormat="1"/>
    <xf numFmtId="179" fontId="6" fillId="0" borderId="3" xfId="0" applyNumberFormat="1" applyFont="1" applyBorder="1" applyAlignment="1" applyProtection="1">
      <alignment horizontal="center" vertical="center"/>
      <protection locked="0"/>
    </xf>
    <xf numFmtId="179" fontId="8" fillId="0" borderId="3" xfId="0" applyNumberFormat="1" applyFont="1" applyBorder="1" applyAlignment="1" applyProtection="1">
      <alignment horizontal="center" vertical="center"/>
      <protection locked="0"/>
    </xf>
    <xf numFmtId="179" fontId="6" fillId="0" borderId="10" xfId="0" applyNumberFormat="1" applyFont="1" applyBorder="1" applyAlignment="1" applyProtection="1">
      <alignment horizontal="center" vertical="center"/>
      <protection locked="0"/>
    </xf>
    <xf numFmtId="179" fontId="8" fillId="0" borderId="3" xfId="0" applyNumberFormat="1" applyFont="1" applyBorder="1"/>
    <xf numFmtId="179" fontId="8" fillId="0" borderId="3" xfId="0" applyNumberFormat="1" applyFont="1" applyBorder="1" applyAlignment="1">
      <alignment vertical="center"/>
    </xf>
    <xf numFmtId="179" fontId="11" fillId="0" borderId="0" xfId="0" applyNumberFormat="1" applyFont="1"/>
    <xf numFmtId="179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vertical="center"/>
    </xf>
    <xf numFmtId="179" fontId="0" fillId="0" borderId="0" xfId="0" applyNumberFormat="1" applyAlignment="1">
      <alignment horizontal="center"/>
    </xf>
    <xf numFmtId="179" fontId="6" fillId="0" borderId="3" xfId="0" applyNumberFormat="1" applyFont="1" applyBorder="1" applyAlignment="1">
      <alignment horizontal="center" vertical="center"/>
    </xf>
    <xf numFmtId="179" fontId="6" fillId="0" borderId="3" xfId="2" applyNumberFormat="1" applyFont="1" applyBorder="1" applyAlignment="1" applyProtection="1">
      <alignment horizontal="center" vertical="center"/>
      <protection locked="0"/>
    </xf>
    <xf numFmtId="179" fontId="6" fillId="0" borderId="3" xfId="1" applyNumberFormat="1" applyFont="1" applyBorder="1" applyAlignment="1" applyProtection="1">
      <alignment horizontal="center" vertical="center"/>
      <protection locked="0"/>
    </xf>
    <xf numFmtId="180" fontId="0" fillId="0" borderId="3" xfId="0" applyNumberFormat="1" applyBorder="1" applyAlignment="1">
      <alignment horizontal="center" vertical="center"/>
    </xf>
    <xf numFmtId="166" fontId="5" fillId="3" borderId="5" xfId="0" applyNumberFormat="1" applyFont="1" applyFill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 textRotation="90" wrapText="1"/>
    </xf>
    <xf numFmtId="49" fontId="5" fillId="3" borderId="5" xfId="0" applyNumberFormat="1" applyFont="1" applyFill="1" applyBorder="1" applyAlignment="1">
      <alignment horizontal="center" vertical="center" textRotation="90" wrapText="1"/>
    </xf>
    <xf numFmtId="165" fontId="5" fillId="3" borderId="5" xfId="0" applyNumberFormat="1" applyFont="1" applyFill="1" applyBorder="1" applyAlignment="1">
      <alignment horizontal="center" vertical="center" textRotation="90" wrapText="1"/>
    </xf>
    <xf numFmtId="168" fontId="5" fillId="4" borderId="3" xfId="0" applyNumberFormat="1" applyFont="1" applyFill="1" applyBorder="1" applyAlignment="1">
      <alignment horizontal="center" vertical="center" textRotation="90" wrapText="1"/>
    </xf>
    <xf numFmtId="165" fontId="6" fillId="4" borderId="7" xfId="0" applyNumberFormat="1" applyFont="1" applyFill="1" applyBorder="1" applyAlignment="1">
      <alignment horizontal="center" vertical="center" textRotation="90" wrapText="1"/>
    </xf>
    <xf numFmtId="0" fontId="5" fillId="4" borderId="3" xfId="0" applyFont="1" applyFill="1" applyBorder="1" applyAlignment="1">
      <alignment horizontal="center" vertical="center" textRotation="90" wrapText="1"/>
    </xf>
    <xf numFmtId="0" fontId="5" fillId="3" borderId="6" xfId="0" applyFont="1" applyFill="1" applyBorder="1" applyAlignment="1">
      <alignment horizontal="center" vertical="center" textRotation="90" wrapText="1"/>
    </xf>
    <xf numFmtId="167" fontId="5" fillId="4" borderId="3" xfId="0" applyNumberFormat="1" applyFont="1" applyFill="1" applyBorder="1" applyAlignment="1">
      <alignment horizontal="center" vertical="center" textRotation="90" wrapText="1"/>
    </xf>
    <xf numFmtId="179" fontId="5" fillId="4" borderId="3" xfId="0" applyNumberFormat="1" applyFont="1" applyFill="1" applyBorder="1" applyAlignment="1">
      <alignment horizontal="center" vertical="center" textRotation="90" wrapText="1"/>
    </xf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66600</xdr:colOff>
      <xdr:row>0</xdr:row>
      <xdr:rowOff>152280</xdr:rowOff>
    </xdr:from>
    <xdr:to>
      <xdr:col>1</xdr:col>
      <xdr:colOff>491760</xdr:colOff>
      <xdr:row>1</xdr:row>
      <xdr:rowOff>605880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/>
      </xdr:blipFill>
      <xdr:spPr>
        <a:xfrm>
          <a:off x="66600" y="152280"/>
          <a:ext cx="749010" cy="7584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66600</xdr:colOff>
      <xdr:row>0</xdr:row>
      <xdr:rowOff>152280</xdr:rowOff>
    </xdr:from>
    <xdr:to>
      <xdr:col>1</xdr:col>
      <xdr:colOff>491760</xdr:colOff>
      <xdr:row>1</xdr:row>
      <xdr:rowOff>605880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/>
      </xdr:blipFill>
      <xdr:spPr>
        <a:xfrm>
          <a:off x="66600" y="152280"/>
          <a:ext cx="767520" cy="7585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66600</xdr:colOff>
      <xdr:row>0</xdr:row>
      <xdr:rowOff>152280</xdr:rowOff>
    </xdr:from>
    <xdr:to>
      <xdr:col>1</xdr:col>
      <xdr:colOff>491760</xdr:colOff>
      <xdr:row>1</xdr:row>
      <xdr:rowOff>605880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/>
      </xdr:blipFill>
      <xdr:spPr>
        <a:xfrm>
          <a:off x="66600" y="152280"/>
          <a:ext cx="767520" cy="7585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66600</xdr:colOff>
      <xdr:row>0</xdr:row>
      <xdr:rowOff>152280</xdr:rowOff>
    </xdr:from>
    <xdr:to>
      <xdr:col>1</xdr:col>
      <xdr:colOff>491760</xdr:colOff>
      <xdr:row>1</xdr:row>
      <xdr:rowOff>605880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/>
      </xdr:blipFill>
      <xdr:spPr>
        <a:xfrm>
          <a:off x="66600" y="152280"/>
          <a:ext cx="767520" cy="7585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66600</xdr:colOff>
      <xdr:row>0</xdr:row>
      <xdr:rowOff>152280</xdr:rowOff>
    </xdr:from>
    <xdr:to>
      <xdr:col>1</xdr:col>
      <xdr:colOff>491760</xdr:colOff>
      <xdr:row>1</xdr:row>
      <xdr:rowOff>605880</xdr:rowOff>
    </xdr:to>
    <xdr:pic>
      <xdr:nvPicPr>
        <xdr:cNvPr id="3" name="1 Imagen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/>
      </xdr:blipFill>
      <xdr:spPr>
        <a:xfrm>
          <a:off x="66600" y="152280"/>
          <a:ext cx="767520" cy="7585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197"/>
  <sheetViews>
    <sheetView tabSelected="1" zoomScale="90" zoomScaleNormal="90" workbookViewId="0">
      <pane xSplit="2" ySplit="6" topLeftCell="D33" activePane="bottomRight" state="frozen"/>
      <selection pane="topRight" activeCell="C1" sqref="C1"/>
      <selection pane="bottomLeft" activeCell="A22" sqref="A22"/>
      <selection pane="bottomRight" activeCell="I20" sqref="I20"/>
    </sheetView>
  </sheetViews>
  <sheetFormatPr baseColWidth="10" defaultColWidth="11" defaultRowHeight="13.2" x14ac:dyDescent="0.25"/>
  <cols>
    <col min="1" max="1" width="4.88671875" customWidth="1"/>
    <col min="2" max="2" width="8.44140625" customWidth="1"/>
    <col min="3" max="3" width="12.109375" customWidth="1"/>
    <col min="4" max="4" width="16.33203125" customWidth="1"/>
    <col min="5" max="5" width="18.109375" bestFit="1" customWidth="1"/>
    <col min="6" max="6" width="73.88671875" bestFit="1" customWidth="1"/>
    <col min="7" max="7" width="23.33203125" bestFit="1" customWidth="1"/>
    <col min="8" max="8" width="28.6640625" customWidth="1"/>
    <col min="9" max="9" width="12.109375" customWidth="1"/>
    <col min="10" max="10" width="14.109375" customWidth="1"/>
    <col min="11" max="11" width="35.44140625" customWidth="1"/>
    <col min="12" max="12" width="16" customWidth="1"/>
    <col min="13" max="13" width="17.5546875" bestFit="1" customWidth="1"/>
    <col min="17" max="17" width="11.88671875" customWidth="1"/>
    <col min="19" max="19" width="10.44140625" customWidth="1"/>
    <col min="21" max="21" width="17.33203125" customWidth="1"/>
    <col min="23" max="23" width="17.33203125" customWidth="1"/>
  </cols>
  <sheetData>
    <row r="1" spans="1:25" s="1" customFormat="1" ht="24" customHeight="1" thickBot="1" x14ac:dyDescent="0.35">
      <c r="A1" s="168"/>
      <c r="B1" s="168"/>
      <c r="C1" s="169" t="s">
        <v>0</v>
      </c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</row>
    <row r="2" spans="1:25" s="2" customFormat="1" ht="54.75" customHeight="1" thickBot="1" x14ac:dyDescent="0.35">
      <c r="A2" s="168"/>
      <c r="B2" s="168"/>
      <c r="C2" s="170" t="s">
        <v>1</v>
      </c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</row>
    <row r="3" spans="1:25" s="2" customFormat="1" ht="21.75" customHeight="1" thickBot="1" x14ac:dyDescent="0.35">
      <c r="A3" s="171" t="s">
        <v>2</v>
      </c>
      <c r="B3" s="171"/>
      <c r="C3" s="172" t="s">
        <v>3</v>
      </c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</row>
    <row r="4" spans="1:25" s="3" customFormat="1" ht="27.75" customHeight="1" thickBot="1" x14ac:dyDescent="0.35">
      <c r="A4" s="173" t="s">
        <v>4</v>
      </c>
      <c r="B4" s="173"/>
      <c r="C4" s="173"/>
      <c r="D4" s="174"/>
      <c r="E4" s="174"/>
      <c r="F4" s="174"/>
      <c r="G4" s="174"/>
      <c r="H4" s="174"/>
      <c r="I4" s="174"/>
      <c r="J4" s="174"/>
      <c r="K4" s="174"/>
      <c r="L4" s="175" t="s">
        <v>5</v>
      </c>
      <c r="M4" s="175"/>
      <c r="N4" s="175"/>
    </row>
    <row r="5" spans="1:25" ht="91.5" customHeight="1" thickBot="1" x14ac:dyDescent="0.3">
      <c r="A5" s="176" t="s">
        <v>6</v>
      </c>
      <c r="B5" s="177" t="s">
        <v>7</v>
      </c>
      <c r="C5" s="178" t="s">
        <v>8</v>
      </c>
      <c r="D5" s="167" t="s">
        <v>9</v>
      </c>
      <c r="E5" s="167" t="s">
        <v>10</v>
      </c>
      <c r="F5" s="167" t="s">
        <v>11</v>
      </c>
      <c r="G5" s="176" t="s">
        <v>12</v>
      </c>
      <c r="H5" s="176" t="s">
        <v>13</v>
      </c>
      <c r="I5" s="178" t="s">
        <v>14</v>
      </c>
      <c r="J5" s="182" t="s">
        <v>15</v>
      </c>
      <c r="K5" s="183" t="s">
        <v>16</v>
      </c>
      <c r="L5" s="181" t="s">
        <v>17</v>
      </c>
      <c r="M5" s="179" t="s">
        <v>18</v>
      </c>
      <c r="N5" s="180" t="s">
        <v>19</v>
      </c>
    </row>
    <row r="6" spans="1:25" x14ac:dyDescent="0.25">
      <c r="A6" s="176"/>
      <c r="B6" s="177"/>
      <c r="C6" s="178"/>
      <c r="D6" s="167"/>
      <c r="E6" s="167"/>
      <c r="F6" s="167"/>
      <c r="G6" s="176"/>
      <c r="H6" s="176"/>
      <c r="I6" s="178"/>
      <c r="J6" s="182"/>
      <c r="K6" s="183"/>
      <c r="L6" s="181"/>
      <c r="M6" s="179"/>
      <c r="N6" s="180"/>
    </row>
    <row r="7" spans="1:25" ht="52.8" x14ac:dyDescent="0.25">
      <c r="A7" s="28" t="s">
        <v>29</v>
      </c>
      <c r="B7" s="80" t="s">
        <v>831</v>
      </c>
      <c r="C7" s="104">
        <v>45677</v>
      </c>
      <c r="D7" s="103" t="s">
        <v>22</v>
      </c>
      <c r="E7" s="103" t="s">
        <v>23</v>
      </c>
      <c r="F7" s="98" t="s">
        <v>852</v>
      </c>
      <c r="G7" s="103" t="s">
        <v>58</v>
      </c>
      <c r="H7" s="103" t="s">
        <v>54</v>
      </c>
      <c r="I7" s="104">
        <v>45677</v>
      </c>
      <c r="J7" s="98" t="s">
        <v>816</v>
      </c>
      <c r="K7" s="28"/>
      <c r="L7" s="28"/>
      <c r="M7" s="151"/>
      <c r="N7" s="28"/>
      <c r="Q7" s="11" t="s">
        <v>28</v>
      </c>
      <c r="R7" s="12"/>
      <c r="S7" s="13" t="s">
        <v>6</v>
      </c>
      <c r="T7" s="12"/>
      <c r="U7" s="14" t="s">
        <v>9</v>
      </c>
      <c r="V7" s="12"/>
      <c r="W7" s="12" t="s">
        <v>10</v>
      </c>
      <c r="Y7" s="12" t="s">
        <v>12</v>
      </c>
    </row>
    <row r="8" spans="1:25" ht="26.4" x14ac:dyDescent="0.25">
      <c r="A8" s="100" t="s">
        <v>29</v>
      </c>
      <c r="B8" s="5" t="s">
        <v>853</v>
      </c>
      <c r="C8" s="101">
        <v>45679</v>
      </c>
      <c r="D8" s="100" t="s">
        <v>56</v>
      </c>
      <c r="E8" s="100" t="s">
        <v>47</v>
      </c>
      <c r="F8" s="103" t="s">
        <v>854</v>
      </c>
      <c r="G8" s="100" t="s">
        <v>116</v>
      </c>
      <c r="H8" s="100" t="s">
        <v>855</v>
      </c>
      <c r="I8" s="101">
        <v>45679</v>
      </c>
      <c r="J8" s="100" t="s">
        <v>41</v>
      </c>
      <c r="K8" s="100"/>
      <c r="L8" s="100"/>
      <c r="M8" s="149"/>
      <c r="N8" s="100"/>
      <c r="S8" s="27" t="s">
        <v>29</v>
      </c>
      <c r="U8" s="28" t="s">
        <v>35</v>
      </c>
      <c r="W8" t="s">
        <v>36</v>
      </c>
      <c r="Y8" s="29" t="s">
        <v>37</v>
      </c>
    </row>
    <row r="9" spans="1:25" ht="26.4" x14ac:dyDescent="0.25">
      <c r="A9" s="100" t="s">
        <v>29</v>
      </c>
      <c r="B9" s="5" t="s">
        <v>856</v>
      </c>
      <c r="C9" s="101">
        <v>45693</v>
      </c>
      <c r="D9" s="100" t="s">
        <v>56</v>
      </c>
      <c r="E9" s="100" t="s">
        <v>69</v>
      </c>
      <c r="F9" s="98" t="s">
        <v>858</v>
      </c>
      <c r="G9" s="100" t="s">
        <v>116</v>
      </c>
      <c r="H9" s="103" t="s">
        <v>857</v>
      </c>
      <c r="I9" s="101">
        <v>45737</v>
      </c>
      <c r="J9" s="98" t="s">
        <v>27</v>
      </c>
      <c r="K9" s="143">
        <v>1405423.8600000003</v>
      </c>
      <c r="L9" s="100">
        <v>6</v>
      </c>
      <c r="M9" s="166">
        <f>K9*L9</f>
        <v>8432543.160000002</v>
      </c>
      <c r="N9" s="100"/>
      <c r="Q9" s="38" t="s">
        <v>41</v>
      </c>
      <c r="S9" s="27" t="s">
        <v>42</v>
      </c>
      <c r="U9" s="28" t="s">
        <v>43</v>
      </c>
      <c r="W9" t="s">
        <v>44</v>
      </c>
      <c r="Y9" s="29" t="s">
        <v>45</v>
      </c>
    </row>
    <row r="10" spans="1:25" ht="26.4" x14ac:dyDescent="0.25">
      <c r="A10" s="103" t="s">
        <v>29</v>
      </c>
      <c r="B10" s="105" t="s">
        <v>859</v>
      </c>
      <c r="C10" s="104">
        <v>45694</v>
      </c>
      <c r="D10" s="100" t="s">
        <v>56</v>
      </c>
      <c r="E10" s="100" t="s">
        <v>47</v>
      </c>
      <c r="F10" s="98" t="s">
        <v>860</v>
      </c>
      <c r="G10" s="100" t="s">
        <v>116</v>
      </c>
      <c r="H10" s="103" t="s">
        <v>861</v>
      </c>
      <c r="I10" s="104">
        <v>45695</v>
      </c>
      <c r="J10" s="100" t="s">
        <v>41</v>
      </c>
      <c r="K10" s="100"/>
      <c r="L10" s="100"/>
      <c r="M10" s="149"/>
      <c r="N10" s="100"/>
      <c r="Q10" s="38" t="s">
        <v>52</v>
      </c>
      <c r="S10" s="39" t="s">
        <v>20</v>
      </c>
      <c r="U10" s="28" t="s">
        <v>53</v>
      </c>
      <c r="W10" t="s">
        <v>47</v>
      </c>
      <c r="Y10" s="29" t="s">
        <v>54</v>
      </c>
    </row>
    <row r="11" spans="1:25" x14ac:dyDescent="0.25">
      <c r="A11" s="100" t="s">
        <v>29</v>
      </c>
      <c r="B11" s="5" t="s">
        <v>862</v>
      </c>
      <c r="C11" s="101">
        <v>45701</v>
      </c>
      <c r="D11" s="100" t="s">
        <v>92</v>
      </c>
      <c r="E11" s="100" t="s">
        <v>69</v>
      </c>
      <c r="F11" s="103" t="s">
        <v>864</v>
      </c>
      <c r="G11" s="100" t="s">
        <v>59</v>
      </c>
      <c r="H11" s="100" t="s">
        <v>863</v>
      </c>
      <c r="I11" s="101">
        <v>45701</v>
      </c>
      <c r="J11" s="100" t="s">
        <v>816</v>
      </c>
      <c r="K11" s="100"/>
      <c r="L11" s="100"/>
      <c r="M11" s="149"/>
      <c r="N11" s="100"/>
      <c r="Q11" s="47" t="s">
        <v>27</v>
      </c>
      <c r="U11" s="28" t="s">
        <v>22</v>
      </c>
      <c r="W11" t="s">
        <v>23</v>
      </c>
      <c r="Y11" s="29" t="s">
        <v>59</v>
      </c>
    </row>
    <row r="12" spans="1:25" x14ac:dyDescent="0.25">
      <c r="A12" s="100" t="s">
        <v>42</v>
      </c>
      <c r="B12" s="5" t="s">
        <v>865</v>
      </c>
      <c r="C12" s="104">
        <v>45702</v>
      </c>
      <c r="D12" s="100" t="s">
        <v>56</v>
      </c>
      <c r="E12" s="103" t="s">
        <v>44</v>
      </c>
      <c r="F12" s="103" t="s">
        <v>866</v>
      </c>
      <c r="G12" s="103"/>
      <c r="H12" s="103" t="s">
        <v>388</v>
      </c>
      <c r="I12" s="104">
        <v>45716</v>
      </c>
      <c r="J12" s="103" t="s">
        <v>27</v>
      </c>
      <c r="K12" s="100"/>
      <c r="L12" s="100"/>
      <c r="M12" s="166">
        <v>52227459.449999996</v>
      </c>
      <c r="N12" s="100"/>
      <c r="Q12" s="53" t="s">
        <v>64</v>
      </c>
      <c r="U12" s="28"/>
      <c r="Y12" s="29"/>
    </row>
    <row r="13" spans="1:25" x14ac:dyDescent="0.25">
      <c r="A13" s="100" t="s">
        <v>29</v>
      </c>
      <c r="B13" s="5" t="s">
        <v>867</v>
      </c>
      <c r="C13" s="101">
        <v>45705</v>
      </c>
      <c r="D13" s="100" t="s">
        <v>61</v>
      </c>
      <c r="E13" s="100" t="s">
        <v>23</v>
      </c>
      <c r="F13" s="103" t="s">
        <v>868</v>
      </c>
      <c r="G13" s="100" t="s">
        <v>58</v>
      </c>
      <c r="H13" s="100" t="s">
        <v>755</v>
      </c>
      <c r="I13" s="140">
        <v>45712</v>
      </c>
      <c r="J13" s="100" t="s">
        <v>51</v>
      </c>
      <c r="K13" s="100"/>
      <c r="L13" s="100"/>
      <c r="M13" s="149"/>
      <c r="N13" s="100"/>
      <c r="Q13" s="53" t="s">
        <v>67</v>
      </c>
      <c r="U13" s="28" t="s">
        <v>68</v>
      </c>
      <c r="W13" t="s">
        <v>69</v>
      </c>
      <c r="Y13" s="29" t="s">
        <v>70</v>
      </c>
    </row>
    <row r="14" spans="1:25" x14ac:dyDescent="0.25">
      <c r="A14" s="103" t="s">
        <v>29</v>
      </c>
      <c r="B14" s="105" t="s">
        <v>869</v>
      </c>
      <c r="C14" s="141">
        <v>45712</v>
      </c>
      <c r="D14" s="103" t="s">
        <v>22</v>
      </c>
      <c r="E14" s="103" t="s">
        <v>23</v>
      </c>
      <c r="F14" s="103" t="s">
        <v>870</v>
      </c>
      <c r="G14" s="103" t="s">
        <v>135</v>
      </c>
      <c r="H14" s="103" t="s">
        <v>871</v>
      </c>
      <c r="I14" s="141">
        <v>45712</v>
      </c>
      <c r="J14" s="103" t="s">
        <v>51</v>
      </c>
      <c r="K14" s="100"/>
      <c r="L14" s="100"/>
      <c r="M14" s="149"/>
      <c r="N14" s="100"/>
      <c r="Q14" s="47" t="s">
        <v>75</v>
      </c>
      <c r="U14" s="28" t="s">
        <v>76</v>
      </c>
      <c r="W14" t="s">
        <v>77</v>
      </c>
      <c r="Y14" s="29" t="s">
        <v>78</v>
      </c>
    </row>
    <row r="15" spans="1:25" ht="26.4" x14ac:dyDescent="0.25">
      <c r="A15" s="103" t="s">
        <v>29</v>
      </c>
      <c r="B15" s="105" t="s">
        <v>872</v>
      </c>
      <c r="C15" s="141">
        <v>45742</v>
      </c>
      <c r="D15" s="103" t="s">
        <v>22</v>
      </c>
      <c r="E15" s="103" t="s">
        <v>69</v>
      </c>
      <c r="F15" s="103" t="s">
        <v>873</v>
      </c>
      <c r="G15" s="103" t="s">
        <v>105</v>
      </c>
      <c r="H15" s="103" t="s">
        <v>874</v>
      </c>
      <c r="I15" s="141">
        <v>45721</v>
      </c>
      <c r="J15" s="103" t="s">
        <v>816</v>
      </c>
      <c r="K15" s="100"/>
      <c r="L15" s="100"/>
      <c r="M15" s="149"/>
      <c r="N15" s="100"/>
      <c r="Q15" s="47" t="s">
        <v>74</v>
      </c>
      <c r="U15" s="28"/>
      <c r="Y15" s="29"/>
    </row>
    <row r="16" spans="1:25" x14ac:dyDescent="0.25">
      <c r="A16" s="103" t="s">
        <v>29</v>
      </c>
      <c r="B16" s="105" t="s">
        <v>876</v>
      </c>
      <c r="C16" s="141">
        <v>45726</v>
      </c>
      <c r="D16" s="103" t="s">
        <v>56</v>
      </c>
      <c r="E16" s="103" t="s">
        <v>69</v>
      </c>
      <c r="F16" s="103" t="s">
        <v>875</v>
      </c>
      <c r="G16" s="103" t="s">
        <v>116</v>
      </c>
      <c r="H16" s="103" t="s">
        <v>877</v>
      </c>
      <c r="I16" s="141">
        <v>45789</v>
      </c>
      <c r="J16" s="103" t="s">
        <v>27</v>
      </c>
      <c r="K16" s="142">
        <v>3608927.5600000024</v>
      </c>
      <c r="L16" s="100">
        <v>20</v>
      </c>
      <c r="M16" s="166">
        <f>K16*L16</f>
        <v>72178551.200000048</v>
      </c>
      <c r="N16" s="100"/>
      <c r="Q16" s="64" t="s">
        <v>51</v>
      </c>
      <c r="U16" s="28" t="s">
        <v>84</v>
      </c>
      <c r="Y16" s="29" t="s">
        <v>58</v>
      </c>
    </row>
    <row r="17" spans="1:25" s="68" customFormat="1" ht="52.8" x14ac:dyDescent="0.25">
      <c r="A17" s="103" t="s">
        <v>29</v>
      </c>
      <c r="B17" s="105" t="s">
        <v>878</v>
      </c>
      <c r="C17" s="141">
        <v>45727</v>
      </c>
      <c r="D17" s="103" t="s">
        <v>56</v>
      </c>
      <c r="E17" s="103" t="s">
        <v>69</v>
      </c>
      <c r="F17" s="103" t="s">
        <v>879</v>
      </c>
      <c r="G17" s="103" t="s">
        <v>49</v>
      </c>
      <c r="H17" s="103" t="s">
        <v>880</v>
      </c>
      <c r="I17" s="141">
        <v>45727</v>
      </c>
      <c r="J17" s="103" t="s">
        <v>816</v>
      </c>
      <c r="K17" s="100"/>
      <c r="L17" s="100"/>
      <c r="M17" s="149"/>
      <c r="N17" s="100"/>
      <c r="Q17" s="47" t="s">
        <v>34</v>
      </c>
      <c r="U17" s="4" t="s">
        <v>61</v>
      </c>
      <c r="Y17" s="69" t="s">
        <v>88</v>
      </c>
    </row>
    <row r="18" spans="1:25" ht="26.4" x14ac:dyDescent="0.25">
      <c r="A18" s="103" t="s">
        <v>29</v>
      </c>
      <c r="B18" s="105" t="s">
        <v>881</v>
      </c>
      <c r="C18" s="141">
        <v>45751</v>
      </c>
      <c r="D18" s="103" t="s">
        <v>22</v>
      </c>
      <c r="E18" s="103" t="s">
        <v>36</v>
      </c>
      <c r="F18" s="103" t="s">
        <v>882</v>
      </c>
      <c r="G18" s="103" t="s">
        <v>49</v>
      </c>
      <c r="H18" s="103" t="s">
        <v>883</v>
      </c>
      <c r="I18" s="141">
        <v>45751</v>
      </c>
      <c r="J18" s="103" t="s">
        <v>27</v>
      </c>
      <c r="K18" s="100"/>
      <c r="L18" s="100"/>
      <c r="M18" s="149"/>
      <c r="N18" s="100"/>
      <c r="Q18" s="53" t="s">
        <v>817</v>
      </c>
      <c r="U18" s="28" t="s">
        <v>92</v>
      </c>
      <c r="Y18" s="29" t="s">
        <v>93</v>
      </c>
    </row>
    <row r="19" spans="1:25" x14ac:dyDescent="0.25">
      <c r="A19" s="103" t="s">
        <v>29</v>
      </c>
      <c r="B19" s="103" t="s">
        <v>884</v>
      </c>
      <c r="C19" s="141">
        <v>45756</v>
      </c>
      <c r="D19" s="103" t="s">
        <v>31</v>
      </c>
      <c r="E19" s="103"/>
      <c r="F19" s="103" t="s">
        <v>885</v>
      </c>
      <c r="G19" s="103" t="s">
        <v>25</v>
      </c>
      <c r="H19" s="103"/>
      <c r="I19" s="141">
        <v>45756</v>
      </c>
      <c r="J19" s="103" t="s">
        <v>34</v>
      </c>
      <c r="K19" s="28"/>
      <c r="L19" s="28"/>
      <c r="M19" s="151"/>
      <c r="N19" s="28"/>
      <c r="O19" s="70"/>
      <c r="Q19" s="53" t="s">
        <v>816</v>
      </c>
      <c r="U19" s="28" t="s">
        <v>56</v>
      </c>
      <c r="Y19" s="29" t="s">
        <v>97</v>
      </c>
    </row>
    <row r="20" spans="1:25" x14ac:dyDescent="0.25">
      <c r="A20" s="103" t="s">
        <v>29</v>
      </c>
      <c r="B20" s="103" t="s">
        <v>887</v>
      </c>
      <c r="C20" s="141">
        <v>45757</v>
      </c>
      <c r="D20" s="103" t="s">
        <v>56</v>
      </c>
      <c r="E20" s="103" t="s">
        <v>69</v>
      </c>
      <c r="F20" s="103" t="s">
        <v>886</v>
      </c>
      <c r="G20" s="103" t="s">
        <v>49</v>
      </c>
      <c r="H20" s="103" t="s">
        <v>134</v>
      </c>
      <c r="I20" s="141">
        <v>45757</v>
      </c>
      <c r="J20" s="103" t="s">
        <v>52</v>
      </c>
      <c r="K20" s="28"/>
      <c r="L20" s="28"/>
      <c r="M20" s="151"/>
      <c r="N20" s="28"/>
      <c r="Q20" s="38"/>
      <c r="U20" s="28" t="s">
        <v>31</v>
      </c>
      <c r="Y20" s="29" t="s">
        <v>100</v>
      </c>
    </row>
    <row r="21" spans="1:25" ht="26.4" x14ac:dyDescent="0.25">
      <c r="A21" s="103" t="s">
        <v>20</v>
      </c>
      <c r="B21" s="103" t="s">
        <v>888</v>
      </c>
      <c r="C21" s="141">
        <v>45764</v>
      </c>
      <c r="D21" s="103" t="s">
        <v>56</v>
      </c>
      <c r="E21" s="103" t="s">
        <v>23</v>
      </c>
      <c r="F21" s="103" t="s">
        <v>889</v>
      </c>
      <c r="G21" s="103" t="s">
        <v>93</v>
      </c>
      <c r="H21" s="103" t="s">
        <v>210</v>
      </c>
      <c r="I21" s="141">
        <v>45768</v>
      </c>
      <c r="J21" s="103" t="s">
        <v>51</v>
      </c>
      <c r="K21" s="28"/>
      <c r="L21" s="28"/>
      <c r="M21" s="151"/>
      <c r="N21" s="28"/>
      <c r="U21" s="28" t="s">
        <v>104</v>
      </c>
      <c r="Y21" s="29" t="s">
        <v>105</v>
      </c>
    </row>
    <row r="22" spans="1:25" x14ac:dyDescent="0.25">
      <c r="A22" s="103" t="s">
        <v>29</v>
      </c>
      <c r="B22" s="103" t="s">
        <v>890</v>
      </c>
      <c r="C22" s="141">
        <v>45770</v>
      </c>
      <c r="D22" s="103" t="s">
        <v>56</v>
      </c>
      <c r="E22" s="103" t="s">
        <v>23</v>
      </c>
      <c r="F22" s="103" t="s">
        <v>898</v>
      </c>
      <c r="G22" s="103" t="s">
        <v>49</v>
      </c>
      <c r="H22" s="103" t="s">
        <v>899</v>
      </c>
      <c r="I22" s="141">
        <v>45770</v>
      </c>
      <c r="J22" s="103" t="s">
        <v>74</v>
      </c>
      <c r="K22" s="28"/>
      <c r="L22" s="28"/>
      <c r="M22" s="151"/>
      <c r="N22" s="28"/>
      <c r="U22" s="28" t="s">
        <v>108</v>
      </c>
      <c r="Y22" s="29" t="s">
        <v>49</v>
      </c>
    </row>
    <row r="23" spans="1:25" x14ac:dyDescent="0.25">
      <c r="A23" s="103" t="s">
        <v>29</v>
      </c>
      <c r="B23" s="103" t="s">
        <v>897</v>
      </c>
      <c r="C23" s="141">
        <v>45770</v>
      </c>
      <c r="D23" s="103" t="s">
        <v>56</v>
      </c>
      <c r="E23" s="103" t="s">
        <v>23</v>
      </c>
      <c r="F23" s="103" t="s">
        <v>901</v>
      </c>
      <c r="G23" s="103" t="s">
        <v>49</v>
      </c>
      <c r="H23" s="103" t="s">
        <v>900</v>
      </c>
      <c r="I23" s="141">
        <v>45770</v>
      </c>
      <c r="J23" s="103" t="s">
        <v>74</v>
      </c>
      <c r="K23" s="28"/>
      <c r="L23" s="28"/>
      <c r="M23" s="151"/>
      <c r="N23" s="28"/>
      <c r="U23" s="28" t="s">
        <v>112</v>
      </c>
      <c r="Y23" s="29" t="s">
        <v>113</v>
      </c>
    </row>
    <row r="24" spans="1:25" x14ac:dyDescent="0.25">
      <c r="A24" s="103" t="s">
        <v>29</v>
      </c>
      <c r="B24" s="103" t="s">
        <v>892</v>
      </c>
      <c r="C24" s="141">
        <v>45772</v>
      </c>
      <c r="D24" s="103" t="s">
        <v>56</v>
      </c>
      <c r="E24" s="103" t="s">
        <v>23</v>
      </c>
      <c r="F24" s="103" t="s">
        <v>891</v>
      </c>
      <c r="G24" s="103" t="s">
        <v>49</v>
      </c>
      <c r="H24" s="103" t="s">
        <v>893</v>
      </c>
      <c r="I24" s="141">
        <v>45772</v>
      </c>
      <c r="J24" s="103" t="s">
        <v>27</v>
      </c>
      <c r="K24" s="28"/>
      <c r="L24" s="28"/>
      <c r="M24" s="151"/>
      <c r="N24" s="28"/>
      <c r="Q24" s="53"/>
      <c r="U24" s="28"/>
      <c r="Y24" s="29" t="s">
        <v>118</v>
      </c>
    </row>
    <row r="25" spans="1:25" ht="26.4" x14ac:dyDescent="0.25">
      <c r="A25" s="103" t="s">
        <v>29</v>
      </c>
      <c r="B25" s="103" t="s">
        <v>894</v>
      </c>
      <c r="C25" s="141">
        <v>45775</v>
      </c>
      <c r="D25" s="103" t="s">
        <v>56</v>
      </c>
      <c r="E25" s="103" t="s">
        <v>69</v>
      </c>
      <c r="F25" s="103" t="s">
        <v>895</v>
      </c>
      <c r="G25" s="103" t="s">
        <v>49</v>
      </c>
      <c r="H25" s="103" t="s">
        <v>896</v>
      </c>
      <c r="I25" s="141">
        <v>45820</v>
      </c>
      <c r="J25" s="103" t="s">
        <v>816</v>
      </c>
      <c r="K25" s="28"/>
      <c r="L25" s="28"/>
      <c r="M25" s="151"/>
      <c r="N25" s="28"/>
      <c r="Q25" s="53"/>
      <c r="Y25" s="29" t="s">
        <v>122</v>
      </c>
    </row>
    <row r="26" spans="1:25" x14ac:dyDescent="0.25">
      <c r="A26" s="103" t="s">
        <v>29</v>
      </c>
      <c r="B26" s="103" t="s">
        <v>904</v>
      </c>
      <c r="C26" s="141">
        <v>45776</v>
      </c>
      <c r="D26" s="103" t="s">
        <v>56</v>
      </c>
      <c r="E26" s="103" t="s">
        <v>23</v>
      </c>
      <c r="F26" s="103" t="s">
        <v>902</v>
      </c>
      <c r="G26" s="103" t="s">
        <v>116</v>
      </c>
      <c r="H26" s="103" t="s">
        <v>903</v>
      </c>
      <c r="I26" s="141">
        <v>45777</v>
      </c>
      <c r="J26" s="103" t="s">
        <v>51</v>
      </c>
      <c r="K26" s="28"/>
      <c r="L26" s="28"/>
      <c r="M26" s="151"/>
      <c r="N26" s="28"/>
      <c r="Q26" s="53"/>
      <c r="Y26" s="29" t="s">
        <v>127</v>
      </c>
    </row>
    <row r="27" spans="1:25" x14ac:dyDescent="0.25">
      <c r="A27" s="103" t="s">
        <v>20</v>
      </c>
      <c r="B27" s="103" t="s">
        <v>905</v>
      </c>
      <c r="C27" s="141">
        <v>45786</v>
      </c>
      <c r="D27" s="103" t="s">
        <v>61</v>
      </c>
      <c r="E27" s="103" t="s">
        <v>23</v>
      </c>
      <c r="F27" s="103" t="s">
        <v>906</v>
      </c>
      <c r="G27" s="103" t="s">
        <v>93</v>
      </c>
      <c r="H27" s="103" t="s">
        <v>267</v>
      </c>
      <c r="I27" s="141">
        <v>45786</v>
      </c>
      <c r="J27" s="103" t="s">
        <v>51</v>
      </c>
      <c r="K27" s="28"/>
      <c r="L27" s="28"/>
      <c r="M27" s="151"/>
      <c r="N27" s="28"/>
      <c r="Q27" s="53"/>
      <c r="Y27" s="29" t="s">
        <v>131</v>
      </c>
    </row>
    <row r="28" spans="1:25" x14ac:dyDescent="0.25">
      <c r="A28" s="103" t="s">
        <v>29</v>
      </c>
      <c r="B28" s="103" t="s">
        <v>907</v>
      </c>
      <c r="C28" s="141">
        <v>45786</v>
      </c>
      <c r="D28" s="103" t="s">
        <v>56</v>
      </c>
      <c r="E28" s="103" t="s">
        <v>47</v>
      </c>
      <c r="F28" s="103" t="s">
        <v>930</v>
      </c>
      <c r="G28" s="103" t="s">
        <v>58</v>
      </c>
      <c r="H28" s="103" t="s">
        <v>908</v>
      </c>
      <c r="I28" s="141">
        <v>45789</v>
      </c>
      <c r="J28" s="103" t="s">
        <v>51</v>
      </c>
      <c r="K28" s="28"/>
      <c r="L28" s="28"/>
      <c r="M28" s="151"/>
      <c r="N28" s="28"/>
      <c r="Y28" s="29" t="s">
        <v>135</v>
      </c>
    </row>
    <row r="29" spans="1:25" s="68" customFormat="1" x14ac:dyDescent="0.25">
      <c r="A29" s="103" t="s">
        <v>29</v>
      </c>
      <c r="B29" s="103" t="s">
        <v>909</v>
      </c>
      <c r="C29" s="141">
        <v>45789</v>
      </c>
      <c r="D29" s="103" t="s">
        <v>61</v>
      </c>
      <c r="E29" s="103" t="s">
        <v>69</v>
      </c>
      <c r="F29" s="103" t="s">
        <v>931</v>
      </c>
      <c r="G29" s="103" t="s">
        <v>49</v>
      </c>
      <c r="H29" s="103" t="s">
        <v>932</v>
      </c>
      <c r="I29" s="141">
        <v>45789</v>
      </c>
      <c r="J29" s="103" t="s">
        <v>816</v>
      </c>
      <c r="K29" s="28"/>
      <c r="L29" s="28"/>
      <c r="M29" s="151"/>
      <c r="N29" s="28"/>
      <c r="Y29" s="69" t="s">
        <v>116</v>
      </c>
    </row>
    <row r="30" spans="1:25" x14ac:dyDescent="0.25">
      <c r="A30" s="103" t="s">
        <v>29</v>
      </c>
      <c r="B30" s="103" t="s">
        <v>910</v>
      </c>
      <c r="C30" s="141">
        <v>45789</v>
      </c>
      <c r="D30" s="103" t="s">
        <v>61</v>
      </c>
      <c r="E30" s="103" t="s">
        <v>23</v>
      </c>
      <c r="F30" s="103" t="s">
        <v>933</v>
      </c>
      <c r="G30" s="103" t="s">
        <v>49</v>
      </c>
      <c r="H30" s="103" t="s">
        <v>938</v>
      </c>
      <c r="I30" s="141">
        <v>45797</v>
      </c>
      <c r="J30" s="103" t="s">
        <v>27</v>
      </c>
      <c r="K30" s="28"/>
      <c r="L30" s="28"/>
      <c r="M30" s="151"/>
      <c r="N30" s="28"/>
      <c r="Y30" s="29" t="s">
        <v>125</v>
      </c>
    </row>
    <row r="31" spans="1:25" ht="34.200000000000003" x14ac:dyDescent="0.25">
      <c r="A31" s="103" t="s">
        <v>20</v>
      </c>
      <c r="B31" s="103" t="s">
        <v>911</v>
      </c>
      <c r="C31" s="141">
        <v>45790</v>
      </c>
      <c r="D31" s="103" t="s">
        <v>56</v>
      </c>
      <c r="E31" s="103" t="s">
        <v>44</v>
      </c>
      <c r="F31" s="103" t="s">
        <v>934</v>
      </c>
      <c r="G31" s="103" t="s">
        <v>25</v>
      </c>
      <c r="H31" s="144" t="s">
        <v>935</v>
      </c>
      <c r="I31" s="141">
        <v>45790</v>
      </c>
      <c r="J31" s="103" t="s">
        <v>51</v>
      </c>
      <c r="K31" s="28"/>
      <c r="L31" s="28"/>
      <c r="M31" s="151"/>
      <c r="N31" s="28"/>
      <c r="Y31" s="29" t="s">
        <v>142</v>
      </c>
    </row>
    <row r="32" spans="1:25" s="68" customFormat="1" x14ac:dyDescent="0.25">
      <c r="A32" s="103" t="s">
        <v>29</v>
      </c>
      <c r="B32" s="103" t="s">
        <v>912</v>
      </c>
      <c r="C32" s="141">
        <v>45797</v>
      </c>
      <c r="D32" s="103" t="s">
        <v>56</v>
      </c>
      <c r="E32" s="103" t="s">
        <v>47</v>
      </c>
      <c r="F32" s="103" t="s">
        <v>936</v>
      </c>
      <c r="G32" s="103" t="s">
        <v>49</v>
      </c>
      <c r="H32" s="103" t="s">
        <v>937</v>
      </c>
      <c r="I32" s="141"/>
      <c r="J32" s="103" t="s">
        <v>74</v>
      </c>
      <c r="K32" s="28"/>
      <c r="L32" s="28"/>
      <c r="M32" s="151"/>
      <c r="N32" s="28"/>
      <c r="Y32" s="69" t="s">
        <v>144</v>
      </c>
    </row>
    <row r="33" spans="1:25" ht="26.4" x14ac:dyDescent="0.25">
      <c r="A33" s="103" t="s">
        <v>29</v>
      </c>
      <c r="B33" s="103" t="s">
        <v>913</v>
      </c>
      <c r="C33" s="141">
        <v>45806</v>
      </c>
      <c r="D33" s="103" t="s">
        <v>35</v>
      </c>
      <c r="E33" s="103" t="s">
        <v>23</v>
      </c>
      <c r="F33" s="103" t="s">
        <v>939</v>
      </c>
      <c r="G33" s="103" t="s">
        <v>116</v>
      </c>
      <c r="H33" s="103" t="s">
        <v>940</v>
      </c>
      <c r="I33" s="141">
        <v>45806</v>
      </c>
      <c r="J33" s="103" t="s">
        <v>41</v>
      </c>
      <c r="K33" s="28"/>
      <c r="L33" s="28"/>
      <c r="M33" s="151"/>
      <c r="N33" s="28"/>
      <c r="Y33" s="29" t="s">
        <v>146</v>
      </c>
    </row>
    <row r="34" spans="1:25" s="68" customFormat="1" ht="26.4" x14ac:dyDescent="0.25">
      <c r="A34" s="103" t="s">
        <v>29</v>
      </c>
      <c r="B34" s="103" t="s">
        <v>914</v>
      </c>
      <c r="C34" s="141">
        <v>45811</v>
      </c>
      <c r="D34" s="103" t="s">
        <v>56</v>
      </c>
      <c r="E34" s="103" t="s">
        <v>23</v>
      </c>
      <c r="F34" s="103" t="s">
        <v>941</v>
      </c>
      <c r="G34" s="103" t="s">
        <v>58</v>
      </c>
      <c r="H34" s="103" t="s">
        <v>329</v>
      </c>
      <c r="I34" s="103"/>
      <c r="J34" s="103" t="s">
        <v>51</v>
      </c>
      <c r="K34" s="28"/>
      <c r="L34" s="28"/>
      <c r="M34" s="151"/>
      <c r="N34" s="28"/>
      <c r="Y34" s="69" t="s">
        <v>25</v>
      </c>
    </row>
    <row r="35" spans="1:25" ht="39.75" customHeight="1" x14ac:dyDescent="0.25">
      <c r="A35" s="145" t="s">
        <v>29</v>
      </c>
      <c r="B35" s="103" t="s">
        <v>915</v>
      </c>
      <c r="C35" s="141">
        <v>45840</v>
      </c>
      <c r="D35" s="103" t="s">
        <v>22</v>
      </c>
      <c r="E35" s="103" t="s">
        <v>23</v>
      </c>
      <c r="F35" s="145" t="s">
        <v>943</v>
      </c>
      <c r="G35" s="103" t="s">
        <v>49</v>
      </c>
      <c r="H35" s="145" t="s">
        <v>942</v>
      </c>
      <c r="I35" s="103"/>
      <c r="J35" s="103" t="s">
        <v>74</v>
      </c>
      <c r="K35" s="28"/>
      <c r="L35" s="28"/>
      <c r="M35" s="151"/>
      <c r="N35" s="28"/>
    </row>
    <row r="36" spans="1:25" x14ac:dyDescent="0.25">
      <c r="A36" s="28" t="s">
        <v>29</v>
      </c>
      <c r="B36" s="103" t="s">
        <v>916</v>
      </c>
      <c r="C36" s="146">
        <v>45840</v>
      </c>
      <c r="D36" s="28" t="s">
        <v>22</v>
      </c>
      <c r="E36" s="28" t="s">
        <v>23</v>
      </c>
      <c r="F36" s="100" t="s">
        <v>944</v>
      </c>
      <c r="G36" s="28" t="s">
        <v>58</v>
      </c>
      <c r="H36" s="95" t="s">
        <v>222</v>
      </c>
      <c r="I36" s="28"/>
      <c r="J36" s="28" t="s">
        <v>51</v>
      </c>
      <c r="K36" s="28"/>
      <c r="L36" s="28"/>
      <c r="M36" s="151"/>
      <c r="N36" s="28"/>
    </row>
    <row r="37" spans="1:25" s="102" customFormat="1" ht="29.25" customHeight="1" x14ac:dyDescent="0.25">
      <c r="A37" s="100" t="s">
        <v>29</v>
      </c>
      <c r="B37" s="103" t="s">
        <v>917</v>
      </c>
      <c r="C37" s="140">
        <v>45845</v>
      </c>
      <c r="D37" s="100" t="s">
        <v>56</v>
      </c>
      <c r="E37" s="100" t="s">
        <v>44</v>
      </c>
      <c r="F37" s="100" t="s">
        <v>945</v>
      </c>
      <c r="G37" s="100" t="s">
        <v>49</v>
      </c>
      <c r="H37" s="100"/>
      <c r="I37" s="100"/>
      <c r="J37" s="100" t="s">
        <v>816</v>
      </c>
      <c r="K37" s="100"/>
      <c r="M37" s="166">
        <v>3420817.7848286601</v>
      </c>
      <c r="N37" s="100"/>
    </row>
    <row r="38" spans="1:25" x14ac:dyDescent="0.25">
      <c r="A38" s="28" t="s">
        <v>29</v>
      </c>
      <c r="B38" s="103" t="s">
        <v>918</v>
      </c>
      <c r="C38" s="146">
        <v>45863</v>
      </c>
      <c r="D38" s="28" t="s">
        <v>61</v>
      </c>
      <c r="E38" s="28" t="s">
        <v>23</v>
      </c>
      <c r="F38" s="28" t="s">
        <v>946</v>
      </c>
      <c r="G38" s="28" t="s">
        <v>88</v>
      </c>
      <c r="H38" s="28" t="s">
        <v>947</v>
      </c>
      <c r="I38" s="146">
        <v>45866</v>
      </c>
      <c r="J38" s="28" t="s">
        <v>27</v>
      </c>
      <c r="K38" s="28"/>
      <c r="L38" s="28"/>
      <c r="M38" s="151"/>
      <c r="N38" s="28"/>
    </row>
    <row r="39" spans="1:25" x14ac:dyDescent="0.25">
      <c r="A39" s="147" t="s">
        <v>29</v>
      </c>
      <c r="B39" s="103" t="s">
        <v>919</v>
      </c>
      <c r="C39" s="146">
        <v>45866</v>
      </c>
      <c r="D39" s="28" t="s">
        <v>56</v>
      </c>
      <c r="E39" s="28" t="s">
        <v>47</v>
      </c>
      <c r="F39" s="147" t="s">
        <v>948</v>
      </c>
      <c r="G39" s="28" t="s">
        <v>49</v>
      </c>
      <c r="H39" s="147" t="s">
        <v>949</v>
      </c>
      <c r="I39" s="146">
        <v>45866</v>
      </c>
      <c r="J39" s="28" t="s">
        <v>74</v>
      </c>
      <c r="K39" s="28"/>
      <c r="L39" s="28"/>
      <c r="M39" s="151"/>
      <c r="N39" s="28"/>
    </row>
    <row r="40" spans="1:25" ht="37.5" customHeight="1" x14ac:dyDescent="0.25">
      <c r="A40" s="4" t="s">
        <v>20</v>
      </c>
      <c r="B40" s="103" t="s">
        <v>920</v>
      </c>
      <c r="C40" s="141">
        <v>45867</v>
      </c>
      <c r="D40" s="103" t="s">
        <v>56</v>
      </c>
      <c r="E40" s="103" t="s">
        <v>23</v>
      </c>
      <c r="F40" s="103" t="s">
        <v>950</v>
      </c>
      <c r="G40" s="103" t="s">
        <v>58</v>
      </c>
      <c r="H40" s="103" t="s">
        <v>951</v>
      </c>
      <c r="I40" s="141">
        <v>45868</v>
      </c>
      <c r="J40" s="103" t="s">
        <v>27</v>
      </c>
      <c r="K40" s="4"/>
      <c r="L40" s="4"/>
      <c r="M40" s="152"/>
      <c r="N40" s="4"/>
    </row>
    <row r="41" spans="1:25" ht="26.25" customHeight="1" x14ac:dyDescent="0.25">
      <c r="A41" s="28"/>
      <c r="B41" s="103" t="s">
        <v>921</v>
      </c>
      <c r="C41" s="141">
        <v>45874</v>
      </c>
      <c r="D41" s="103" t="s">
        <v>22</v>
      </c>
      <c r="E41" s="103" t="s">
        <v>23</v>
      </c>
      <c r="F41" s="103" t="s">
        <v>952</v>
      </c>
      <c r="G41" s="103" t="s">
        <v>59</v>
      </c>
      <c r="H41" s="103" t="s">
        <v>248</v>
      </c>
      <c r="I41" s="103"/>
      <c r="J41" s="103" t="s">
        <v>51</v>
      </c>
      <c r="K41" s="28"/>
      <c r="L41" s="28"/>
      <c r="M41" s="151"/>
      <c r="N41" s="28"/>
    </row>
    <row r="42" spans="1:25" ht="30.75" customHeight="1" x14ac:dyDescent="0.25">
      <c r="A42" s="28" t="s">
        <v>29</v>
      </c>
      <c r="B42" s="103" t="s">
        <v>922</v>
      </c>
      <c r="C42" s="146">
        <v>45883</v>
      </c>
      <c r="D42" s="28" t="s">
        <v>22</v>
      </c>
      <c r="E42" s="28" t="s">
        <v>23</v>
      </c>
      <c r="F42" s="28" t="s">
        <v>954</v>
      </c>
      <c r="G42" s="28" t="s">
        <v>49</v>
      </c>
      <c r="H42" s="28" t="s">
        <v>953</v>
      </c>
      <c r="I42" s="146">
        <v>45883</v>
      </c>
      <c r="J42" s="28" t="s">
        <v>27</v>
      </c>
      <c r="K42" s="28"/>
      <c r="L42" s="28"/>
      <c r="M42" s="151"/>
      <c r="N42" s="28"/>
    </row>
    <row r="43" spans="1:25" x14ac:dyDescent="0.25">
      <c r="A43" s="28" t="s">
        <v>29</v>
      </c>
      <c r="B43" s="103" t="s">
        <v>923</v>
      </c>
      <c r="C43" s="146">
        <v>45889</v>
      </c>
      <c r="D43" s="28" t="s">
        <v>61</v>
      </c>
      <c r="E43" s="28" t="s">
        <v>47</v>
      </c>
      <c r="F43" s="28" t="s">
        <v>955</v>
      </c>
      <c r="G43" s="28" t="s">
        <v>37</v>
      </c>
      <c r="H43" s="28" t="s">
        <v>641</v>
      </c>
      <c r="I43" s="146">
        <v>45890</v>
      </c>
      <c r="J43" s="28" t="s">
        <v>27</v>
      </c>
      <c r="K43" s="28"/>
      <c r="L43" s="28"/>
      <c r="M43" s="151"/>
      <c r="N43" s="28"/>
    </row>
    <row r="44" spans="1:25" x14ac:dyDescent="0.25">
      <c r="A44" s="28" t="s">
        <v>29</v>
      </c>
      <c r="B44" s="103" t="s">
        <v>924</v>
      </c>
      <c r="C44" s="146">
        <v>45891</v>
      </c>
      <c r="D44" s="28" t="s">
        <v>22</v>
      </c>
      <c r="E44" s="28" t="s">
        <v>23</v>
      </c>
      <c r="F44" s="28" t="s">
        <v>956</v>
      </c>
      <c r="G44" s="28" t="s">
        <v>58</v>
      </c>
      <c r="H44" s="28" t="s">
        <v>54</v>
      </c>
      <c r="I44" s="146">
        <v>45891</v>
      </c>
      <c r="J44" s="28" t="s">
        <v>27</v>
      </c>
      <c r="K44" s="28"/>
      <c r="L44" s="28"/>
      <c r="M44" s="151"/>
      <c r="N44" s="28"/>
    </row>
    <row r="45" spans="1:25" ht="27" customHeight="1" x14ac:dyDescent="0.25">
      <c r="A45" s="28" t="s">
        <v>42</v>
      </c>
      <c r="B45" s="103" t="s">
        <v>925</v>
      </c>
      <c r="C45" s="146">
        <v>45894</v>
      </c>
      <c r="D45" s="28" t="s">
        <v>56</v>
      </c>
      <c r="E45" s="28" t="s">
        <v>23</v>
      </c>
      <c r="F45" s="28" t="s">
        <v>957</v>
      </c>
      <c r="G45" s="28" t="s">
        <v>58</v>
      </c>
      <c r="H45" s="28" t="s">
        <v>216</v>
      </c>
      <c r="I45" s="146">
        <v>45894</v>
      </c>
      <c r="J45" s="28" t="s">
        <v>52</v>
      </c>
      <c r="K45" s="28"/>
      <c r="L45" s="28"/>
      <c r="M45" s="151"/>
      <c r="N45" s="28"/>
    </row>
    <row r="46" spans="1:25" ht="35.25" customHeight="1" x14ac:dyDescent="0.25">
      <c r="A46" s="28" t="s">
        <v>29</v>
      </c>
      <c r="B46" s="103" t="s">
        <v>926</v>
      </c>
      <c r="C46" s="146">
        <v>45894</v>
      </c>
      <c r="D46" s="28" t="s">
        <v>61</v>
      </c>
      <c r="E46" s="28" t="s">
        <v>23</v>
      </c>
      <c r="F46" s="28" t="s">
        <v>959</v>
      </c>
      <c r="G46" s="28" t="s">
        <v>37</v>
      </c>
      <c r="H46" s="28" t="s">
        <v>958</v>
      </c>
      <c r="I46" s="28"/>
      <c r="J46" s="28" t="s">
        <v>816</v>
      </c>
      <c r="K46" s="28"/>
      <c r="L46" s="28"/>
      <c r="M46" s="151"/>
      <c r="N46" s="28"/>
    </row>
    <row r="47" spans="1:25" x14ac:dyDescent="0.25">
      <c r="A47" s="28" t="s">
        <v>29</v>
      </c>
      <c r="B47" s="103" t="s">
        <v>927</v>
      </c>
      <c r="C47" s="146">
        <v>45903</v>
      </c>
      <c r="D47" s="28" t="s">
        <v>56</v>
      </c>
      <c r="E47" s="28" t="s">
        <v>69</v>
      </c>
      <c r="F47" s="28" t="s">
        <v>960</v>
      </c>
      <c r="G47" s="28" t="s">
        <v>49</v>
      </c>
      <c r="H47" s="28" t="s">
        <v>961</v>
      </c>
      <c r="I47" s="28"/>
      <c r="J47" s="28" t="s">
        <v>27</v>
      </c>
      <c r="K47" s="28"/>
      <c r="L47" s="28"/>
      <c r="M47" s="151"/>
      <c r="N47" s="28"/>
    </row>
    <row r="48" spans="1:25" x14ac:dyDescent="0.25">
      <c r="A48" s="28" t="s">
        <v>29</v>
      </c>
      <c r="B48" s="103" t="s">
        <v>928</v>
      </c>
      <c r="C48" s="146">
        <v>45908</v>
      </c>
      <c r="D48" s="28" t="s">
        <v>61</v>
      </c>
      <c r="E48" s="28" t="s">
        <v>47</v>
      </c>
      <c r="F48" s="28" t="s">
        <v>962</v>
      </c>
      <c r="G48" s="28" t="s">
        <v>58</v>
      </c>
      <c r="H48" s="28" t="s">
        <v>103</v>
      </c>
      <c r="I48" s="146">
        <v>45908</v>
      </c>
      <c r="J48" s="28" t="s">
        <v>816</v>
      </c>
      <c r="K48" s="28"/>
      <c r="L48" s="28"/>
      <c r="M48" s="151"/>
      <c r="N48" s="28"/>
    </row>
    <row r="49" spans="1:14" x14ac:dyDescent="0.25">
      <c r="A49" s="28" t="s">
        <v>29</v>
      </c>
      <c r="B49" s="103" t="s">
        <v>929</v>
      </c>
      <c r="C49" s="146">
        <v>45909</v>
      </c>
      <c r="D49" s="28" t="s">
        <v>56</v>
      </c>
      <c r="E49" s="28" t="s">
        <v>47</v>
      </c>
      <c r="F49" s="28" t="s">
        <v>963</v>
      </c>
      <c r="G49" s="28" t="s">
        <v>135</v>
      </c>
      <c r="H49" s="28" t="s">
        <v>153</v>
      </c>
      <c r="I49" s="146">
        <v>45918</v>
      </c>
      <c r="J49" s="28" t="s">
        <v>41</v>
      </c>
      <c r="K49" s="28"/>
      <c r="L49" s="28"/>
      <c r="M49" s="151"/>
      <c r="N49" s="28"/>
    </row>
    <row r="50" spans="1:14" x14ac:dyDescent="0.25">
      <c r="A50" s="28" t="s">
        <v>20</v>
      </c>
      <c r="B50" s="103" t="s">
        <v>965</v>
      </c>
      <c r="C50" s="146">
        <v>45918</v>
      </c>
      <c r="D50" s="28" t="s">
        <v>56</v>
      </c>
      <c r="E50" s="28" t="s">
        <v>44</v>
      </c>
      <c r="F50" s="28" t="s">
        <v>964</v>
      </c>
      <c r="G50" s="28" t="s">
        <v>49</v>
      </c>
      <c r="H50" s="28" t="s">
        <v>388</v>
      </c>
      <c r="I50" s="146">
        <v>45922</v>
      </c>
      <c r="J50" s="28" t="s">
        <v>27</v>
      </c>
      <c r="K50" s="28"/>
      <c r="L50" s="28"/>
      <c r="M50" s="166">
        <v>36152533.949999996</v>
      </c>
      <c r="N50" s="28"/>
    </row>
    <row r="51" spans="1:14" x14ac:dyDescent="0.25">
      <c r="A51" s="28" t="s">
        <v>29</v>
      </c>
      <c r="B51" s="103" t="s">
        <v>966</v>
      </c>
      <c r="C51" s="146">
        <v>45908</v>
      </c>
      <c r="D51" s="28" t="s">
        <v>56</v>
      </c>
      <c r="E51" s="28" t="s">
        <v>23</v>
      </c>
      <c r="F51" s="28" t="s">
        <v>967</v>
      </c>
      <c r="G51" s="28" t="s">
        <v>113</v>
      </c>
      <c r="H51" s="28" t="s">
        <v>388</v>
      </c>
      <c r="I51" s="146">
        <v>45929</v>
      </c>
      <c r="J51" s="28" t="s">
        <v>34</v>
      </c>
      <c r="K51" s="28"/>
      <c r="L51" s="28"/>
      <c r="M51" s="151"/>
      <c r="N51" s="28"/>
    </row>
    <row r="52" spans="1:14" ht="26.4" x14ac:dyDescent="0.25">
      <c r="A52" s="28" t="s">
        <v>29</v>
      </c>
      <c r="B52" s="103" t="s">
        <v>968</v>
      </c>
      <c r="C52" s="146">
        <v>45931</v>
      </c>
      <c r="D52" s="28" t="s">
        <v>56</v>
      </c>
      <c r="E52" s="28" t="s">
        <v>36</v>
      </c>
      <c r="F52" s="150" t="s">
        <v>969</v>
      </c>
      <c r="G52" s="28" t="s">
        <v>135</v>
      </c>
      <c r="H52" s="28" t="s">
        <v>153</v>
      </c>
      <c r="I52" s="28"/>
      <c r="J52" s="28" t="s">
        <v>41</v>
      </c>
      <c r="K52" s="28"/>
      <c r="L52" s="28"/>
      <c r="M52" s="151"/>
      <c r="N52" s="28"/>
    </row>
    <row r="53" spans="1:14" x14ac:dyDescent="0.25">
      <c r="A53" s="28"/>
      <c r="B53" s="103" t="s">
        <v>970</v>
      </c>
      <c r="C53" s="146"/>
      <c r="D53" s="28"/>
      <c r="E53" s="28"/>
      <c r="F53" s="28"/>
      <c r="G53" s="28"/>
      <c r="H53" s="28"/>
      <c r="I53" s="146"/>
      <c r="J53" s="28"/>
      <c r="K53" s="28"/>
      <c r="L53" s="28"/>
      <c r="M53" s="151"/>
      <c r="N53" s="28"/>
    </row>
    <row r="54" spans="1:14" x14ac:dyDescent="0.25">
      <c r="A54" s="28" t="s">
        <v>20</v>
      </c>
      <c r="B54" s="103" t="s">
        <v>973</v>
      </c>
      <c r="C54" s="146">
        <v>45938</v>
      </c>
      <c r="D54" s="28" t="s">
        <v>22</v>
      </c>
      <c r="E54" s="28" t="s">
        <v>44</v>
      </c>
      <c r="F54" s="28" t="s">
        <v>971</v>
      </c>
      <c r="G54" s="28" t="s">
        <v>58</v>
      </c>
      <c r="H54" s="28" t="s">
        <v>972</v>
      </c>
      <c r="I54" s="146">
        <v>45938</v>
      </c>
      <c r="J54" s="28" t="s">
        <v>51</v>
      </c>
      <c r="K54" s="28"/>
      <c r="L54" s="28"/>
      <c r="M54" s="151"/>
      <c r="N54" s="28"/>
    </row>
    <row r="55" spans="1:14" x14ac:dyDescent="0.25">
      <c r="A55" s="28" t="s">
        <v>29</v>
      </c>
      <c r="B55" s="103" t="s">
        <v>974</v>
      </c>
      <c r="C55" s="146">
        <v>45938</v>
      </c>
      <c r="D55" s="28" t="s">
        <v>22</v>
      </c>
      <c r="E55" s="28" t="s">
        <v>47</v>
      </c>
      <c r="F55" s="28" t="s">
        <v>975</v>
      </c>
      <c r="G55" s="28" t="s">
        <v>58</v>
      </c>
      <c r="H55" s="28" t="s">
        <v>103</v>
      </c>
      <c r="I55" s="146">
        <v>45938</v>
      </c>
      <c r="J55" s="28" t="s">
        <v>816</v>
      </c>
      <c r="K55" s="28"/>
      <c r="L55" s="28"/>
      <c r="M55" s="151"/>
      <c r="N55" s="28"/>
    </row>
    <row r="56" spans="1:14" x14ac:dyDescent="0.25">
      <c r="A56" s="28"/>
      <c r="B56" s="103"/>
      <c r="C56" s="146"/>
      <c r="D56" s="28"/>
      <c r="E56" s="28"/>
      <c r="F56" s="28"/>
      <c r="G56" s="28"/>
      <c r="H56" s="28"/>
      <c r="I56" s="28"/>
      <c r="J56" s="28"/>
      <c r="K56" s="28"/>
      <c r="L56" s="28"/>
      <c r="M56" s="151"/>
      <c r="N56" s="28"/>
    </row>
    <row r="57" spans="1:14" x14ac:dyDescent="0.25">
      <c r="A57" s="28"/>
      <c r="B57" s="103"/>
      <c r="C57" s="146"/>
      <c r="D57" s="28"/>
      <c r="E57" s="28"/>
      <c r="F57" s="28"/>
      <c r="G57" s="28"/>
      <c r="H57" s="28"/>
      <c r="I57" s="28"/>
      <c r="J57" s="28"/>
      <c r="K57" s="28"/>
      <c r="L57" s="28"/>
      <c r="M57" s="151"/>
      <c r="N57" s="28"/>
    </row>
    <row r="58" spans="1:14" x14ac:dyDescent="0.25">
      <c r="A58" s="28"/>
      <c r="B58" s="103"/>
      <c r="C58" s="146"/>
      <c r="D58" s="28"/>
      <c r="E58" s="28"/>
      <c r="F58" s="28"/>
      <c r="G58" s="28"/>
      <c r="H58" s="28"/>
      <c r="I58" s="28"/>
      <c r="J58" s="28"/>
      <c r="K58" s="28"/>
      <c r="L58" s="28"/>
      <c r="M58" s="151"/>
      <c r="N58" s="28"/>
    </row>
    <row r="59" spans="1:14" x14ac:dyDescent="0.25">
      <c r="A59" s="28"/>
      <c r="B59" s="103"/>
      <c r="C59" s="146"/>
      <c r="D59" s="28"/>
      <c r="E59" s="28"/>
      <c r="F59" s="28"/>
      <c r="G59" s="28"/>
      <c r="H59" s="28"/>
      <c r="I59" s="28"/>
      <c r="J59" s="28"/>
      <c r="K59" s="28"/>
      <c r="L59" s="28"/>
      <c r="M59" s="151"/>
      <c r="N59" s="28"/>
    </row>
    <row r="60" spans="1:14" x14ac:dyDescent="0.25">
      <c r="A60" s="28"/>
      <c r="B60" s="103"/>
      <c r="C60" s="146"/>
      <c r="D60" s="28"/>
      <c r="E60" s="28"/>
      <c r="F60" s="28"/>
      <c r="G60" s="28"/>
      <c r="H60" s="28"/>
      <c r="I60" s="28"/>
      <c r="J60" s="28"/>
      <c r="K60" s="28"/>
      <c r="L60" s="28"/>
      <c r="M60" s="151"/>
      <c r="N60" s="28"/>
    </row>
    <row r="61" spans="1:14" x14ac:dyDescent="0.25">
      <c r="A61" s="28"/>
      <c r="B61" s="103"/>
      <c r="C61" s="146"/>
      <c r="D61" s="28"/>
      <c r="E61" s="28"/>
      <c r="F61" s="28"/>
      <c r="G61" s="28"/>
      <c r="H61" s="28"/>
      <c r="I61" s="28"/>
      <c r="J61" s="28"/>
      <c r="K61" s="28"/>
      <c r="L61" s="28"/>
      <c r="M61" s="151"/>
      <c r="N61" s="28"/>
    </row>
    <row r="62" spans="1:14" x14ac:dyDescent="0.25">
      <c r="A62" s="28"/>
      <c r="B62" s="103"/>
      <c r="C62" s="146"/>
      <c r="D62" s="28"/>
      <c r="E62" s="28"/>
      <c r="F62" s="28"/>
      <c r="G62" s="28"/>
      <c r="H62" s="28"/>
      <c r="I62" s="28"/>
      <c r="J62" s="28"/>
      <c r="K62" s="28"/>
      <c r="L62" s="28"/>
      <c r="M62" s="151"/>
      <c r="N62" s="28"/>
    </row>
    <row r="63" spans="1:14" x14ac:dyDescent="0.25">
      <c r="A63" s="28"/>
      <c r="B63" s="103"/>
      <c r="C63" s="146"/>
      <c r="D63" s="28"/>
      <c r="E63" s="28"/>
      <c r="F63" s="28"/>
      <c r="G63" s="28"/>
      <c r="H63" s="28"/>
      <c r="I63" s="28"/>
      <c r="J63" s="28"/>
      <c r="K63" s="28"/>
      <c r="L63" s="28"/>
      <c r="M63" s="151"/>
      <c r="N63" s="28"/>
    </row>
    <row r="64" spans="1:14" ht="33" customHeight="1" x14ac:dyDescent="0.25">
      <c r="A64" s="28"/>
      <c r="B64" s="103"/>
      <c r="C64" s="146"/>
      <c r="D64" s="28"/>
      <c r="E64" s="28"/>
      <c r="F64" s="28"/>
      <c r="G64" s="28"/>
      <c r="H64" s="28"/>
      <c r="I64" s="28"/>
      <c r="J64" s="28"/>
      <c r="K64" s="28"/>
      <c r="L64" s="28"/>
      <c r="M64" s="151"/>
      <c r="N64" s="28"/>
    </row>
    <row r="65" spans="1:14" ht="33" customHeight="1" x14ac:dyDescent="0.25">
      <c r="A65" s="28"/>
      <c r="B65" s="103"/>
      <c r="C65" s="146"/>
      <c r="D65" s="28"/>
      <c r="E65" s="28"/>
      <c r="F65" s="28"/>
      <c r="G65" s="28"/>
      <c r="H65" s="28"/>
      <c r="I65" s="28"/>
      <c r="J65" s="28"/>
      <c r="K65" s="28"/>
      <c r="L65" s="28"/>
      <c r="M65" s="151"/>
      <c r="N65" s="28"/>
    </row>
    <row r="66" spans="1:14" ht="33" customHeight="1" x14ac:dyDescent="0.25">
      <c r="A66" s="28"/>
      <c r="B66" s="103"/>
      <c r="C66" s="146"/>
      <c r="D66" s="28"/>
      <c r="E66" s="28"/>
      <c r="F66" s="28"/>
      <c r="G66" s="28"/>
      <c r="H66" s="28"/>
      <c r="I66" s="28"/>
      <c r="J66" s="28"/>
      <c r="K66" s="28"/>
      <c r="L66" s="28"/>
      <c r="M66" s="151"/>
      <c r="N66" s="28"/>
    </row>
    <row r="67" spans="1:14" ht="33" customHeight="1" x14ac:dyDescent="0.25">
      <c r="A67" s="28"/>
      <c r="B67" s="103"/>
      <c r="C67" s="146"/>
      <c r="D67" s="28"/>
      <c r="E67" s="28"/>
      <c r="F67" s="28"/>
      <c r="G67" s="28"/>
      <c r="H67" s="28"/>
      <c r="I67" s="28"/>
      <c r="J67" s="28"/>
      <c r="K67" s="28"/>
      <c r="L67" s="28"/>
      <c r="M67" s="151"/>
      <c r="N67" s="28"/>
    </row>
    <row r="68" spans="1:14" ht="33" customHeight="1" x14ac:dyDescent="0.25">
      <c r="A68" s="28"/>
      <c r="B68" s="103"/>
      <c r="C68" s="146"/>
      <c r="D68" s="28"/>
      <c r="E68" s="28"/>
      <c r="F68" s="28"/>
      <c r="G68" s="28"/>
      <c r="H68" s="28"/>
      <c r="I68" s="28"/>
      <c r="J68" s="28"/>
      <c r="K68" s="28"/>
      <c r="L68" s="28"/>
      <c r="M68" s="151"/>
      <c r="N68" s="28"/>
    </row>
    <row r="69" spans="1:14" ht="33" customHeight="1" x14ac:dyDescent="0.25">
      <c r="A69" s="28"/>
      <c r="B69" s="103"/>
      <c r="C69" s="146"/>
      <c r="D69" s="28"/>
      <c r="E69" s="28"/>
      <c r="F69" s="28"/>
      <c r="G69" s="28"/>
      <c r="H69" s="28"/>
      <c r="I69" s="28"/>
      <c r="J69" s="28"/>
      <c r="K69" s="28"/>
      <c r="L69" s="28"/>
      <c r="M69" s="151"/>
      <c r="N69" s="28"/>
    </row>
    <row r="70" spans="1:14" ht="33" customHeight="1" x14ac:dyDescent="0.25">
      <c r="A70" s="28"/>
      <c r="B70" s="103"/>
      <c r="C70" s="146"/>
      <c r="D70" s="28"/>
      <c r="E70" s="28"/>
      <c r="F70" s="28"/>
      <c r="G70" s="28"/>
      <c r="H70" s="28"/>
      <c r="I70" s="28"/>
      <c r="J70" s="28"/>
      <c r="K70" s="28"/>
      <c r="L70" s="28"/>
      <c r="M70" s="151"/>
      <c r="N70" s="28"/>
    </row>
    <row r="71" spans="1:14" ht="33" customHeight="1" x14ac:dyDescent="0.25">
      <c r="A71" s="28"/>
      <c r="B71" s="103"/>
      <c r="C71" s="146"/>
      <c r="D71" s="28"/>
      <c r="E71" s="28"/>
      <c r="F71" s="28"/>
      <c r="G71" s="28"/>
      <c r="H71" s="28"/>
      <c r="I71" s="28"/>
      <c r="J71" s="28"/>
      <c r="K71" s="28"/>
      <c r="L71" s="28"/>
      <c r="M71" s="151"/>
      <c r="N71" s="28"/>
    </row>
    <row r="72" spans="1:14" ht="33" customHeight="1" x14ac:dyDescent="0.25">
      <c r="A72" s="28"/>
      <c r="B72" s="103"/>
      <c r="C72" s="146"/>
      <c r="D72" s="28"/>
      <c r="E72" s="28"/>
      <c r="F72" s="28"/>
      <c r="G72" s="28"/>
      <c r="H72" s="28"/>
      <c r="I72" s="28"/>
      <c r="J72" s="28"/>
      <c r="K72" s="28"/>
      <c r="L72" s="28"/>
      <c r="M72" s="151"/>
      <c r="N72" s="28"/>
    </row>
    <row r="73" spans="1:14" ht="33" customHeight="1" x14ac:dyDescent="0.25">
      <c r="A73" s="28"/>
      <c r="B73" s="103"/>
      <c r="C73" s="146"/>
      <c r="D73" s="28"/>
      <c r="E73" s="28"/>
      <c r="F73" s="28"/>
      <c r="G73" s="28"/>
      <c r="H73" s="28"/>
      <c r="I73" s="28"/>
      <c r="J73" s="28"/>
      <c r="K73" s="28"/>
      <c r="L73" s="28"/>
      <c r="M73" s="151"/>
      <c r="N73" s="28"/>
    </row>
    <row r="74" spans="1:14" ht="33" customHeight="1" x14ac:dyDescent="0.25">
      <c r="A74" s="28"/>
      <c r="B74" s="103"/>
      <c r="C74" s="146"/>
      <c r="D74" s="28"/>
      <c r="E74" s="28"/>
      <c r="F74" s="28"/>
      <c r="G74" s="28"/>
      <c r="H74" s="28"/>
      <c r="I74" s="28"/>
      <c r="J74" s="28"/>
      <c r="K74" s="28"/>
      <c r="L74" s="28"/>
      <c r="M74" s="151"/>
      <c r="N74" s="28"/>
    </row>
    <row r="75" spans="1:14" ht="33" customHeight="1" x14ac:dyDescent="0.25">
      <c r="A75" s="28"/>
      <c r="B75" s="103"/>
      <c r="C75" s="146"/>
      <c r="D75" s="28"/>
      <c r="E75" s="28"/>
      <c r="F75" s="28"/>
      <c r="G75" s="28"/>
      <c r="H75" s="28"/>
      <c r="I75" s="28"/>
      <c r="J75" s="28"/>
      <c r="K75" s="28"/>
      <c r="L75" s="28"/>
      <c r="M75" s="151"/>
      <c r="N75" s="28"/>
    </row>
    <row r="76" spans="1:14" ht="33" customHeight="1" x14ac:dyDescent="0.25">
      <c r="A76" s="28"/>
      <c r="B76" s="103"/>
      <c r="C76" s="146"/>
      <c r="D76" s="28"/>
      <c r="E76" s="28"/>
      <c r="F76" s="28"/>
      <c r="G76" s="28"/>
      <c r="H76" s="28"/>
      <c r="I76" s="28"/>
      <c r="J76" s="28"/>
      <c r="K76" s="28"/>
      <c r="L76" s="28"/>
      <c r="M76" s="151"/>
      <c r="N76" s="28"/>
    </row>
    <row r="77" spans="1:14" ht="33" customHeight="1" x14ac:dyDescent="0.25">
      <c r="A77" s="28"/>
      <c r="B77" s="103"/>
      <c r="C77" s="146"/>
      <c r="D77" s="28"/>
      <c r="E77" s="28"/>
      <c r="F77" s="28"/>
      <c r="G77" s="28"/>
      <c r="H77" s="28"/>
      <c r="I77" s="28"/>
      <c r="J77" s="28"/>
      <c r="K77" s="28"/>
      <c r="L77" s="28"/>
      <c r="M77" s="151"/>
      <c r="N77" s="28"/>
    </row>
    <row r="78" spans="1:14" ht="33" customHeight="1" x14ac:dyDescent="0.25">
      <c r="A78" s="28"/>
      <c r="B78" s="103"/>
      <c r="C78" s="146"/>
      <c r="D78" s="28"/>
      <c r="E78" s="28"/>
      <c r="F78" s="28"/>
      <c r="G78" s="28"/>
      <c r="H78" s="28"/>
      <c r="I78" s="28"/>
      <c r="J78" s="28"/>
      <c r="K78" s="28"/>
      <c r="L78" s="28"/>
      <c r="M78" s="151"/>
      <c r="N78" s="28"/>
    </row>
    <row r="79" spans="1:14" ht="33" customHeight="1" x14ac:dyDescent="0.25">
      <c r="A79" s="28"/>
      <c r="B79" s="103"/>
      <c r="C79" s="146"/>
      <c r="D79" s="28"/>
      <c r="E79" s="28"/>
      <c r="F79" s="28"/>
      <c r="G79" s="28"/>
      <c r="H79" s="28"/>
      <c r="I79" s="28"/>
      <c r="J79" s="28"/>
      <c r="K79" s="28"/>
      <c r="L79" s="28"/>
      <c r="M79" s="151"/>
      <c r="N79" s="28"/>
    </row>
    <row r="80" spans="1:14" ht="33" customHeight="1" x14ac:dyDescent="0.25">
      <c r="A80" s="28"/>
      <c r="B80" s="103"/>
      <c r="C80" s="146"/>
      <c r="D80" s="28"/>
      <c r="E80" s="28"/>
      <c r="F80" s="28"/>
      <c r="G80" s="28"/>
      <c r="H80" s="28"/>
      <c r="I80" s="28"/>
      <c r="J80" s="28"/>
      <c r="K80" s="28"/>
      <c r="L80" s="28"/>
      <c r="M80" s="151"/>
      <c r="N80" s="28"/>
    </row>
    <row r="81" spans="1:14" x14ac:dyDescent="0.25">
      <c r="A81" s="28"/>
      <c r="B81" s="103"/>
      <c r="C81" s="146"/>
      <c r="D81" s="28"/>
      <c r="E81" s="28"/>
      <c r="F81" s="28"/>
      <c r="G81" s="28"/>
      <c r="H81" s="28"/>
      <c r="I81" s="28"/>
      <c r="J81" s="28"/>
      <c r="K81" s="28"/>
      <c r="L81" s="28"/>
      <c r="M81" s="151"/>
      <c r="N81" s="28"/>
    </row>
    <row r="82" spans="1:14" x14ac:dyDescent="0.25">
      <c r="M82" s="153"/>
    </row>
    <row r="83" spans="1:14" x14ac:dyDescent="0.25">
      <c r="M83" s="153"/>
    </row>
    <row r="84" spans="1:14" ht="33.75" customHeight="1" x14ac:dyDescent="0.25">
      <c r="M84" s="153"/>
    </row>
    <row r="85" spans="1:14" x14ac:dyDescent="0.25">
      <c r="M85" s="153"/>
    </row>
    <row r="86" spans="1:14" x14ac:dyDescent="0.25">
      <c r="M86" s="153"/>
    </row>
    <row r="87" spans="1:14" x14ac:dyDescent="0.25">
      <c r="M87" s="153"/>
    </row>
    <row r="88" spans="1:14" x14ac:dyDescent="0.25">
      <c r="M88" s="153"/>
    </row>
    <row r="89" spans="1:14" s="64" customFormat="1" ht="32.25" customHeight="1" x14ac:dyDescent="0.25">
      <c r="A89"/>
      <c r="B89"/>
      <c r="C89"/>
      <c r="D89"/>
      <c r="E89"/>
      <c r="F89"/>
      <c r="G89"/>
      <c r="H89"/>
      <c r="I89"/>
      <c r="J89"/>
      <c r="K89"/>
      <c r="L89"/>
      <c r="M89" s="153"/>
      <c r="N89"/>
    </row>
    <row r="90" spans="1:14" s="64" customFormat="1" ht="29.25" customHeight="1" x14ac:dyDescent="0.25">
      <c r="A90"/>
      <c r="B90"/>
      <c r="C90"/>
      <c r="D90"/>
      <c r="E90"/>
      <c r="F90"/>
      <c r="G90"/>
      <c r="H90"/>
      <c r="I90"/>
      <c r="J90"/>
      <c r="K90"/>
      <c r="L90"/>
      <c r="M90" s="153"/>
      <c r="N90"/>
    </row>
    <row r="91" spans="1:14" s="139" customFormat="1" ht="33.75" customHeight="1" x14ac:dyDescent="0.25">
      <c r="A91"/>
      <c r="B91"/>
      <c r="C91"/>
      <c r="D91"/>
      <c r="E91"/>
      <c r="F91"/>
      <c r="G91"/>
      <c r="H91"/>
      <c r="I91"/>
      <c r="J91"/>
      <c r="K91"/>
      <c r="L91"/>
      <c r="M91" s="153"/>
      <c r="N91"/>
    </row>
    <row r="92" spans="1:14" s="64" customFormat="1" ht="38.25" customHeight="1" x14ac:dyDescent="0.25">
      <c r="A92"/>
      <c r="B92"/>
      <c r="C92"/>
      <c r="D92"/>
      <c r="E92"/>
      <c r="F92"/>
      <c r="G92"/>
      <c r="H92"/>
      <c r="I92"/>
      <c r="J92"/>
      <c r="K92"/>
      <c r="L92"/>
      <c r="M92" s="153"/>
      <c r="N92"/>
    </row>
    <row r="93" spans="1:14" s="64" customFormat="1" ht="41.25" customHeight="1" x14ac:dyDescent="0.25">
      <c r="A93"/>
      <c r="B93"/>
      <c r="C93"/>
      <c r="D93"/>
      <c r="E93"/>
      <c r="F93"/>
      <c r="G93"/>
      <c r="H93"/>
      <c r="I93"/>
      <c r="J93"/>
      <c r="K93"/>
      <c r="L93"/>
      <c r="M93" s="153"/>
      <c r="N93"/>
    </row>
    <row r="94" spans="1:14" s="64" customFormat="1" x14ac:dyDescent="0.25">
      <c r="A94"/>
      <c r="B94"/>
      <c r="C94"/>
      <c r="D94"/>
      <c r="E94"/>
      <c r="F94"/>
      <c r="G94"/>
      <c r="H94"/>
      <c r="I94"/>
      <c r="J94"/>
      <c r="K94"/>
      <c r="L94"/>
      <c r="M94" s="153"/>
      <c r="N94"/>
    </row>
    <row r="95" spans="1:14" ht="53.25" customHeight="1" x14ac:dyDescent="0.25">
      <c r="M95" s="153"/>
    </row>
    <row r="96" spans="1:14" ht="43.5" customHeight="1" x14ac:dyDescent="0.25">
      <c r="M96" s="153"/>
    </row>
    <row r="97" spans="1:14" x14ac:dyDescent="0.25">
      <c r="M97" s="153"/>
    </row>
    <row r="98" spans="1:14" s="102" customFormat="1" ht="38.25" customHeight="1" x14ac:dyDescent="0.25">
      <c r="A98"/>
      <c r="B98"/>
      <c r="C98"/>
      <c r="D98"/>
      <c r="E98"/>
      <c r="F98"/>
      <c r="G98"/>
      <c r="H98"/>
      <c r="I98"/>
      <c r="J98"/>
      <c r="K98"/>
      <c r="L98"/>
      <c r="M98" s="153"/>
      <c r="N98"/>
    </row>
    <row r="99" spans="1:14" ht="46.5" customHeight="1" x14ac:dyDescent="0.25">
      <c r="M99" s="153"/>
    </row>
    <row r="100" spans="1:14" x14ac:dyDescent="0.25">
      <c r="M100" s="153"/>
    </row>
    <row r="101" spans="1:14" x14ac:dyDescent="0.25">
      <c r="M101" s="153"/>
    </row>
    <row r="102" spans="1:14" s="102" customFormat="1" ht="42" customHeight="1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 s="153"/>
      <c r="N102"/>
    </row>
    <row r="103" spans="1:14" s="102" customFormat="1" ht="30" customHeight="1" x14ac:dyDescent="0.25">
      <c r="A103"/>
      <c r="B103"/>
      <c r="C103"/>
      <c r="D103"/>
      <c r="E103"/>
      <c r="F103"/>
      <c r="G103"/>
      <c r="H103"/>
      <c r="I103"/>
      <c r="J103"/>
      <c r="K103"/>
      <c r="L103"/>
      <c r="M103" s="153"/>
      <c r="N103"/>
    </row>
    <row r="104" spans="1:14" s="102" customFormat="1" ht="27.75" customHeight="1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 s="153"/>
      <c r="N104"/>
    </row>
    <row r="105" spans="1:14" s="102" customFormat="1" ht="37.5" customHeight="1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 s="153"/>
      <c r="N105"/>
    </row>
    <row r="106" spans="1:14" s="102" customFormat="1" ht="42" customHeight="1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 s="153"/>
      <c r="N106"/>
    </row>
    <row r="107" spans="1:14" s="102" customFormat="1" x14ac:dyDescent="0.25">
      <c r="A107"/>
      <c r="B107"/>
      <c r="C107"/>
      <c r="D107"/>
      <c r="E107"/>
      <c r="F107"/>
      <c r="G107"/>
      <c r="H107"/>
      <c r="I107"/>
      <c r="J107"/>
      <c r="K107"/>
      <c r="L107"/>
      <c r="M107" s="153"/>
      <c r="N107"/>
    </row>
    <row r="108" spans="1:14" ht="26.25" customHeight="1" x14ac:dyDescent="0.25">
      <c r="M108" s="153"/>
    </row>
    <row r="109" spans="1:14" x14ac:dyDescent="0.25">
      <c r="M109" s="153"/>
    </row>
    <row r="110" spans="1:14" ht="26.25" customHeight="1" x14ac:dyDescent="0.25">
      <c r="M110" s="153"/>
    </row>
    <row r="111" spans="1:14" x14ac:dyDescent="0.25">
      <c r="M111" s="153"/>
    </row>
    <row r="112" spans="1:14" s="68" customFormat="1" ht="33.75" customHeight="1" x14ac:dyDescent="0.25">
      <c r="A112"/>
      <c r="B112"/>
      <c r="C112"/>
      <c r="D112"/>
      <c r="E112"/>
      <c r="F112"/>
      <c r="G112"/>
      <c r="H112"/>
      <c r="I112"/>
      <c r="J112"/>
      <c r="K112"/>
      <c r="L112"/>
      <c r="M112" s="153"/>
      <c r="N112"/>
    </row>
    <row r="113" spans="13:13" ht="26.25" customHeight="1" x14ac:dyDescent="0.25">
      <c r="M113" s="153"/>
    </row>
    <row r="114" spans="13:13" x14ac:dyDescent="0.25">
      <c r="M114" s="153"/>
    </row>
    <row r="115" spans="13:13" x14ac:dyDescent="0.25">
      <c r="M115" s="153"/>
    </row>
    <row r="116" spans="13:13" x14ac:dyDescent="0.25">
      <c r="M116" s="153"/>
    </row>
    <row r="117" spans="13:13" x14ac:dyDescent="0.25">
      <c r="M117" s="153"/>
    </row>
    <row r="118" spans="13:13" x14ac:dyDescent="0.25">
      <c r="M118" s="153"/>
    </row>
    <row r="119" spans="13:13" x14ac:dyDescent="0.25">
      <c r="M119" s="153"/>
    </row>
    <row r="120" spans="13:13" ht="21.75" customHeight="1" x14ac:dyDescent="0.25">
      <c r="M120" s="153"/>
    </row>
    <row r="121" spans="13:13" x14ac:dyDescent="0.25">
      <c r="M121" s="153"/>
    </row>
    <row r="122" spans="13:13" x14ac:dyDescent="0.25">
      <c r="M122" s="153"/>
    </row>
    <row r="123" spans="13:13" x14ac:dyDescent="0.25">
      <c r="M123" s="153"/>
    </row>
    <row r="124" spans="13:13" x14ac:dyDescent="0.25">
      <c r="M124" s="153"/>
    </row>
    <row r="125" spans="13:13" x14ac:dyDescent="0.25">
      <c r="M125" s="153"/>
    </row>
    <row r="126" spans="13:13" x14ac:dyDescent="0.25">
      <c r="M126" s="153"/>
    </row>
    <row r="127" spans="13:13" x14ac:dyDescent="0.25">
      <c r="M127" s="153"/>
    </row>
    <row r="128" spans="13:13" x14ac:dyDescent="0.25">
      <c r="M128" s="153"/>
    </row>
    <row r="129" spans="1:14" x14ac:dyDescent="0.25">
      <c r="M129" s="153"/>
    </row>
    <row r="130" spans="1:14" x14ac:dyDescent="0.25">
      <c r="M130" s="153"/>
    </row>
    <row r="131" spans="1:14" x14ac:dyDescent="0.25">
      <c r="M131" s="153"/>
    </row>
    <row r="132" spans="1:14" x14ac:dyDescent="0.25">
      <c r="M132" s="153"/>
    </row>
    <row r="133" spans="1:14" x14ac:dyDescent="0.25">
      <c r="M133" s="153"/>
    </row>
    <row r="134" spans="1:14" s="68" customFormat="1" x14ac:dyDescent="0.25">
      <c r="A134"/>
      <c r="B134"/>
      <c r="C134"/>
      <c r="D134"/>
      <c r="E134"/>
      <c r="F134"/>
      <c r="G134"/>
      <c r="H134"/>
      <c r="I134"/>
      <c r="J134"/>
      <c r="K134"/>
      <c r="L134"/>
      <c r="M134" s="153"/>
      <c r="N134"/>
    </row>
    <row r="135" spans="1:14" x14ac:dyDescent="0.25">
      <c r="M135" s="153"/>
    </row>
    <row r="136" spans="1:14" x14ac:dyDescent="0.25">
      <c r="M136" s="153"/>
    </row>
    <row r="137" spans="1:14" x14ac:dyDescent="0.25">
      <c r="M137" s="153"/>
    </row>
    <row r="138" spans="1:14" x14ac:dyDescent="0.25">
      <c r="M138" s="153"/>
    </row>
    <row r="139" spans="1:14" x14ac:dyDescent="0.25">
      <c r="M139" s="153"/>
    </row>
    <row r="140" spans="1:14" x14ac:dyDescent="0.25">
      <c r="M140" s="153"/>
    </row>
    <row r="141" spans="1:14" x14ac:dyDescent="0.25">
      <c r="M141" s="153"/>
    </row>
    <row r="142" spans="1:14" x14ac:dyDescent="0.25">
      <c r="M142" s="153"/>
    </row>
    <row r="143" spans="1:14" x14ac:dyDescent="0.25">
      <c r="M143" s="153"/>
    </row>
    <row r="144" spans="1:14" x14ac:dyDescent="0.25">
      <c r="M144" s="153"/>
    </row>
    <row r="145" spans="13:13" x14ac:dyDescent="0.25">
      <c r="M145" s="153"/>
    </row>
    <row r="146" spans="13:13" x14ac:dyDescent="0.25">
      <c r="M146" s="153"/>
    </row>
    <row r="147" spans="13:13" x14ac:dyDescent="0.25">
      <c r="M147" s="153"/>
    </row>
    <row r="148" spans="13:13" x14ac:dyDescent="0.25">
      <c r="M148" s="153"/>
    </row>
    <row r="149" spans="13:13" x14ac:dyDescent="0.25">
      <c r="M149" s="153"/>
    </row>
    <row r="150" spans="13:13" x14ac:dyDescent="0.25">
      <c r="M150" s="153"/>
    </row>
    <row r="151" spans="13:13" x14ac:dyDescent="0.25">
      <c r="M151" s="153"/>
    </row>
    <row r="152" spans="13:13" x14ac:dyDescent="0.25">
      <c r="M152" s="153"/>
    </row>
    <row r="153" spans="13:13" x14ac:dyDescent="0.25">
      <c r="M153" s="153"/>
    </row>
    <row r="154" spans="13:13" x14ac:dyDescent="0.25">
      <c r="M154" s="153"/>
    </row>
    <row r="155" spans="13:13" x14ac:dyDescent="0.25">
      <c r="M155" s="153"/>
    </row>
    <row r="156" spans="13:13" x14ac:dyDescent="0.25">
      <c r="M156" s="153"/>
    </row>
    <row r="157" spans="13:13" x14ac:dyDescent="0.25">
      <c r="M157" s="153"/>
    </row>
    <row r="158" spans="13:13" x14ac:dyDescent="0.25">
      <c r="M158" s="153"/>
    </row>
    <row r="159" spans="13:13" x14ac:dyDescent="0.25">
      <c r="M159" s="153"/>
    </row>
    <row r="160" spans="13:13" x14ac:dyDescent="0.25">
      <c r="M160" s="153"/>
    </row>
    <row r="161" spans="13:13" x14ac:dyDescent="0.25">
      <c r="M161" s="153"/>
    </row>
    <row r="162" spans="13:13" x14ac:dyDescent="0.25">
      <c r="M162" s="153"/>
    </row>
    <row r="163" spans="13:13" x14ac:dyDescent="0.25">
      <c r="M163" s="153"/>
    </row>
    <row r="164" spans="13:13" x14ac:dyDescent="0.25">
      <c r="M164" s="153"/>
    </row>
    <row r="165" spans="13:13" x14ac:dyDescent="0.25">
      <c r="M165" s="153"/>
    </row>
    <row r="166" spans="13:13" x14ac:dyDescent="0.25">
      <c r="M166" s="153"/>
    </row>
    <row r="167" spans="13:13" x14ac:dyDescent="0.25">
      <c r="M167" s="153"/>
    </row>
    <row r="194" ht="22.5" customHeight="1" x14ac:dyDescent="0.25"/>
    <row r="197" ht="23.25" customHeight="1" x14ac:dyDescent="0.25"/>
  </sheetData>
  <autoFilter ref="A5:N6" xr:uid="{00000000-0009-0000-0000-000000000000}"/>
  <mergeCells count="22">
    <mergeCell ref="L5:L6"/>
    <mergeCell ref="G5:G6"/>
    <mergeCell ref="H5:H6"/>
    <mergeCell ref="I5:I6"/>
    <mergeCell ref="J5:J6"/>
    <mergeCell ref="K5:K6"/>
    <mergeCell ref="F5:F6"/>
    <mergeCell ref="A1:B2"/>
    <mergeCell ref="C1:N1"/>
    <mergeCell ref="C2:N2"/>
    <mergeCell ref="A3:B3"/>
    <mergeCell ref="C3:N3"/>
    <mergeCell ref="A4:C4"/>
    <mergeCell ref="D4:K4"/>
    <mergeCell ref="L4:N4"/>
    <mergeCell ref="A5:A6"/>
    <mergeCell ref="B5:B6"/>
    <mergeCell ref="C5:C6"/>
    <mergeCell ref="D5:D6"/>
    <mergeCell ref="E5:E6"/>
    <mergeCell ref="M5:M6"/>
    <mergeCell ref="N5:N6"/>
  </mergeCells>
  <phoneticPr fontId="12" type="noConversion"/>
  <dataValidations count="6">
    <dataValidation type="list" allowBlank="1" showInputMessage="1" showErrorMessage="1" sqref="G7:G1048" xr:uid="{00000000-0002-0000-0000-000000000000}">
      <formula1>$Y$8:$Y$34</formula1>
      <formula2>0</formula2>
    </dataValidation>
    <dataValidation type="list" allowBlank="1" showInputMessage="1" showErrorMessage="1" sqref="D7:D1048" xr:uid="{00000000-0002-0000-0000-000001000000}">
      <formula1>$U$8:$U$23</formula1>
      <formula2>0</formula2>
    </dataValidation>
    <dataValidation type="list" allowBlank="1" showInputMessage="1" showErrorMessage="1" sqref="J7:J1048" xr:uid="{00000000-0002-0000-0000-000002000000}">
      <formula1>$Q$9:$Q$23</formula1>
      <formula2>0</formula2>
    </dataValidation>
    <dataValidation type="list" allowBlank="1" showInputMessage="1" showErrorMessage="1" sqref="E7:E1048" xr:uid="{00000000-0002-0000-0000-000003000000}">
      <formula1>$W$8:$W$14</formula1>
      <formula2>0</formula2>
    </dataValidation>
    <dataValidation type="list" allowBlank="1" showInputMessage="1" showErrorMessage="1" sqref="A7:A1048" xr:uid="{00000000-0002-0000-0000-000004000000}">
      <formula1>$S$8:$S$10</formula1>
      <formula2>0</formula2>
    </dataValidation>
    <dataValidation type="list" allowBlank="1" showErrorMessage="1" sqref="A3" xr:uid="{00000000-0002-0000-0000-000005000000}">
      <formula1>"#ref!"</formula1>
      <formula2>0</formula2>
    </dataValidation>
  </dataValidations>
  <pageMargins left="0.25" right="0.25" top="0.75" bottom="0.75" header="0.511811023622047" footer="0.511811023622047"/>
  <pageSetup paperSize="9" fitToHeight="0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Y163"/>
  <sheetViews>
    <sheetView zoomScale="85" zoomScaleNormal="85" workbookViewId="0">
      <pane xSplit="2" ySplit="6" topLeftCell="C7" activePane="bottomRight" state="frozen"/>
      <selection pane="topRight" activeCell="C1" sqref="C1"/>
      <selection pane="bottomLeft" activeCell="A22" sqref="A22"/>
      <selection pane="bottomRight" activeCell="M15" sqref="M15"/>
    </sheetView>
  </sheetViews>
  <sheetFormatPr baseColWidth="10" defaultColWidth="11" defaultRowHeight="13.2" x14ac:dyDescent="0.25"/>
  <cols>
    <col min="1" max="1" width="4.88671875" customWidth="1"/>
    <col min="2" max="2" width="8.44140625" customWidth="1"/>
    <col min="3" max="3" width="12.109375" customWidth="1"/>
    <col min="4" max="4" width="16.33203125" customWidth="1"/>
    <col min="5" max="5" width="16.44140625" customWidth="1"/>
    <col min="6" max="6" width="48.33203125" customWidth="1"/>
    <col min="7" max="7" width="19.6640625" customWidth="1"/>
    <col min="8" max="8" width="28.6640625" customWidth="1"/>
    <col min="9" max="9" width="12.109375" customWidth="1"/>
    <col min="10" max="10" width="14.109375" customWidth="1"/>
    <col min="11" max="11" width="35.44140625" customWidth="1"/>
    <col min="12" max="12" width="16" customWidth="1"/>
    <col min="13" max="13" width="18.88671875" style="153" bestFit="1" customWidth="1"/>
    <col min="17" max="17" width="11.88671875" customWidth="1"/>
    <col min="19" max="19" width="10.44140625" customWidth="1"/>
    <col min="21" max="21" width="17.33203125" customWidth="1"/>
    <col min="23" max="23" width="17.33203125" customWidth="1"/>
  </cols>
  <sheetData>
    <row r="1" spans="1:25" s="1" customFormat="1" ht="24" customHeight="1" x14ac:dyDescent="0.3">
      <c r="A1" s="168"/>
      <c r="B1" s="168"/>
      <c r="C1" s="169" t="s">
        <v>0</v>
      </c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</row>
    <row r="2" spans="1:25" s="2" customFormat="1" ht="54.75" customHeight="1" x14ac:dyDescent="0.3">
      <c r="A2" s="168"/>
      <c r="B2" s="168"/>
      <c r="C2" s="170" t="s">
        <v>1</v>
      </c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</row>
    <row r="3" spans="1:25" s="2" customFormat="1" ht="21.75" customHeight="1" x14ac:dyDescent="0.3">
      <c r="A3" s="171" t="s">
        <v>2</v>
      </c>
      <c r="B3" s="171"/>
      <c r="C3" s="172" t="s">
        <v>3</v>
      </c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</row>
    <row r="4" spans="1:25" s="3" customFormat="1" ht="27.75" customHeight="1" x14ac:dyDescent="0.3">
      <c r="A4" s="173" t="s">
        <v>4</v>
      </c>
      <c r="B4" s="173"/>
      <c r="C4" s="173"/>
      <c r="D4" s="174"/>
      <c r="E4" s="174"/>
      <c r="F4" s="174"/>
      <c r="G4" s="174"/>
      <c r="H4" s="174"/>
      <c r="I4" s="174"/>
      <c r="J4" s="174"/>
      <c r="K4" s="174"/>
      <c r="L4" s="175" t="s">
        <v>5</v>
      </c>
      <c r="M4" s="175"/>
      <c r="N4" s="175"/>
    </row>
    <row r="5" spans="1:25" ht="91.5" customHeight="1" x14ac:dyDescent="0.25">
      <c r="A5" s="176" t="s">
        <v>6</v>
      </c>
      <c r="B5" s="177" t="s">
        <v>7</v>
      </c>
      <c r="C5" s="178" t="s">
        <v>8</v>
      </c>
      <c r="D5" s="167" t="s">
        <v>9</v>
      </c>
      <c r="E5" s="167" t="s">
        <v>10</v>
      </c>
      <c r="F5" s="167" t="s">
        <v>11</v>
      </c>
      <c r="G5" s="176" t="s">
        <v>12</v>
      </c>
      <c r="H5" s="176" t="s">
        <v>13</v>
      </c>
      <c r="I5" s="178" t="s">
        <v>14</v>
      </c>
      <c r="J5" s="182" t="s">
        <v>15</v>
      </c>
      <c r="K5" s="183" t="s">
        <v>16</v>
      </c>
      <c r="L5" s="181" t="s">
        <v>17</v>
      </c>
      <c r="M5" s="184" t="s">
        <v>18</v>
      </c>
      <c r="N5" s="180" t="s">
        <v>19</v>
      </c>
    </row>
    <row r="6" spans="1:25" x14ac:dyDescent="0.25">
      <c r="A6" s="176"/>
      <c r="B6" s="177"/>
      <c r="C6" s="178"/>
      <c r="D6" s="167"/>
      <c r="E6" s="167"/>
      <c r="F6" s="167"/>
      <c r="G6" s="176"/>
      <c r="H6" s="176"/>
      <c r="I6" s="178"/>
      <c r="J6" s="182"/>
      <c r="K6" s="183"/>
      <c r="L6" s="181"/>
      <c r="M6" s="184"/>
      <c r="N6" s="180"/>
    </row>
    <row r="7" spans="1:25" ht="41.25" customHeight="1" x14ac:dyDescent="0.25">
      <c r="A7" s="4" t="s">
        <v>20</v>
      </c>
      <c r="B7" s="5" t="s">
        <v>21</v>
      </c>
      <c r="C7" s="6">
        <v>45300</v>
      </c>
      <c r="D7" s="4" t="s">
        <v>22</v>
      </c>
      <c r="E7" s="4" t="s">
        <v>23</v>
      </c>
      <c r="F7" s="7" t="s">
        <v>24</v>
      </c>
      <c r="G7" s="4" t="s">
        <v>25</v>
      </c>
      <c r="H7" s="4" t="s">
        <v>26</v>
      </c>
      <c r="I7" s="4"/>
      <c r="J7" s="4" t="s">
        <v>27</v>
      </c>
      <c r="K7" s="8"/>
      <c r="L7" s="9"/>
      <c r="M7" s="154"/>
      <c r="N7" s="10"/>
      <c r="Q7" s="11" t="s">
        <v>28</v>
      </c>
      <c r="R7" s="12"/>
      <c r="S7" s="13" t="s">
        <v>6</v>
      </c>
      <c r="T7" s="12"/>
      <c r="U7" s="14" t="s">
        <v>9</v>
      </c>
      <c r="V7" s="12"/>
      <c r="W7" s="12" t="s">
        <v>10</v>
      </c>
      <c r="Y7" s="12" t="s">
        <v>12</v>
      </c>
    </row>
    <row r="8" spans="1:25" ht="21" customHeight="1" x14ac:dyDescent="0.25">
      <c r="A8" s="15" t="s">
        <v>29</v>
      </c>
      <c r="B8" s="5" t="s">
        <v>30</v>
      </c>
      <c r="C8" s="16">
        <v>45300</v>
      </c>
      <c r="D8" s="17" t="s">
        <v>31</v>
      </c>
      <c r="E8" s="18"/>
      <c r="F8" s="19" t="s">
        <v>32</v>
      </c>
      <c r="G8" s="20" t="s">
        <v>25</v>
      </c>
      <c r="H8" s="21" t="s">
        <v>33</v>
      </c>
      <c r="I8" s="22"/>
      <c r="J8" s="23" t="s">
        <v>34</v>
      </c>
      <c r="K8" s="24"/>
      <c r="L8" s="25"/>
      <c r="M8" s="155"/>
      <c r="N8" s="26"/>
      <c r="S8" s="27" t="s">
        <v>29</v>
      </c>
      <c r="U8" s="28" t="s">
        <v>35</v>
      </c>
      <c r="W8" t="s">
        <v>36</v>
      </c>
      <c r="Y8" s="29" t="s">
        <v>37</v>
      </c>
    </row>
    <row r="9" spans="1:25" x14ac:dyDescent="0.25">
      <c r="A9" s="30" t="s">
        <v>29</v>
      </c>
      <c r="B9" s="5" t="s">
        <v>38</v>
      </c>
      <c r="C9" s="31">
        <v>45303</v>
      </c>
      <c r="D9" s="32" t="s">
        <v>22</v>
      </c>
      <c r="E9" s="32" t="s">
        <v>23</v>
      </c>
      <c r="F9" s="33" t="s">
        <v>39</v>
      </c>
      <c r="G9" s="34" t="s">
        <v>25</v>
      </c>
      <c r="H9" s="35" t="s">
        <v>40</v>
      </c>
      <c r="I9" s="36"/>
      <c r="J9" s="37" t="s">
        <v>27</v>
      </c>
      <c r="K9" s="24"/>
      <c r="L9" s="25"/>
      <c r="M9" s="155"/>
      <c r="N9" s="26"/>
      <c r="Q9" s="38" t="s">
        <v>41</v>
      </c>
      <c r="S9" s="27" t="s">
        <v>42</v>
      </c>
      <c r="U9" s="28" t="s">
        <v>43</v>
      </c>
      <c r="W9" t="s">
        <v>44</v>
      </c>
      <c r="Y9" s="29" t="s">
        <v>45</v>
      </c>
    </row>
    <row r="10" spans="1:25" x14ac:dyDescent="0.25">
      <c r="A10" s="30" t="s">
        <v>29</v>
      </c>
      <c r="B10" s="5" t="s">
        <v>46</v>
      </c>
      <c r="C10" s="31">
        <v>45331</v>
      </c>
      <c r="D10" s="32" t="s">
        <v>31</v>
      </c>
      <c r="E10" s="32" t="s">
        <v>47</v>
      </c>
      <c r="F10" s="33" t="s">
        <v>48</v>
      </c>
      <c r="G10" s="34" t="s">
        <v>49</v>
      </c>
      <c r="H10" s="35" t="s">
        <v>50</v>
      </c>
      <c r="I10" s="36"/>
      <c r="J10" s="37" t="s">
        <v>51</v>
      </c>
      <c r="K10" s="24"/>
      <c r="L10" s="25"/>
      <c r="M10" s="155"/>
      <c r="N10" s="26"/>
      <c r="Q10" s="38" t="s">
        <v>52</v>
      </c>
      <c r="S10" s="39" t="s">
        <v>20</v>
      </c>
      <c r="U10" s="28" t="s">
        <v>53</v>
      </c>
      <c r="W10" t="s">
        <v>47</v>
      </c>
      <c r="Y10" s="29" t="s">
        <v>54</v>
      </c>
    </row>
    <row r="11" spans="1:25" x14ac:dyDescent="0.25">
      <c r="A11" s="30" t="s">
        <v>29</v>
      </c>
      <c r="B11" s="5" t="s">
        <v>55</v>
      </c>
      <c r="C11" s="31">
        <v>45337</v>
      </c>
      <c r="D11" s="32" t="s">
        <v>56</v>
      </c>
      <c r="E11" s="40" t="s">
        <v>47</v>
      </c>
      <c r="F11" s="41" t="s">
        <v>57</v>
      </c>
      <c r="G11" s="42" t="s">
        <v>58</v>
      </c>
      <c r="H11" s="43" t="s">
        <v>54</v>
      </c>
      <c r="I11" s="44">
        <v>45337</v>
      </c>
      <c r="J11" s="45" t="s">
        <v>51</v>
      </c>
      <c r="K11" s="46"/>
      <c r="L11" s="25"/>
      <c r="M11" s="155"/>
      <c r="N11" s="26"/>
      <c r="Q11" s="47" t="s">
        <v>27</v>
      </c>
      <c r="U11" s="28" t="s">
        <v>22</v>
      </c>
      <c r="W11" t="s">
        <v>23</v>
      </c>
      <c r="Y11" s="29" t="s">
        <v>59</v>
      </c>
    </row>
    <row r="12" spans="1:25" x14ac:dyDescent="0.25">
      <c r="A12" s="30" t="s">
        <v>29</v>
      </c>
      <c r="B12" s="5" t="s">
        <v>60</v>
      </c>
      <c r="C12" s="48">
        <v>45338</v>
      </c>
      <c r="D12" s="49" t="s">
        <v>61</v>
      </c>
      <c r="E12" s="32" t="s">
        <v>47</v>
      </c>
      <c r="F12" s="50" t="s">
        <v>62</v>
      </c>
      <c r="G12" s="34" t="s">
        <v>58</v>
      </c>
      <c r="H12" s="50" t="s">
        <v>63</v>
      </c>
      <c r="I12" s="51">
        <v>45338</v>
      </c>
      <c r="J12" s="50" t="s">
        <v>51</v>
      </c>
      <c r="K12" s="24"/>
      <c r="L12" s="52"/>
      <c r="M12" s="155"/>
      <c r="N12" s="26"/>
      <c r="Q12" s="53" t="s">
        <v>64</v>
      </c>
      <c r="U12" s="28"/>
      <c r="Y12" s="29"/>
    </row>
    <row r="13" spans="1:25" ht="26.4" x14ac:dyDescent="0.25">
      <c r="A13" s="30" t="s">
        <v>29</v>
      </c>
      <c r="B13" s="5" t="s">
        <v>65</v>
      </c>
      <c r="C13" s="31">
        <v>45341</v>
      </c>
      <c r="D13" s="49" t="s">
        <v>22</v>
      </c>
      <c r="E13" s="32" t="s">
        <v>23</v>
      </c>
      <c r="F13" s="33" t="s">
        <v>66</v>
      </c>
      <c r="G13" s="34" t="s">
        <v>58</v>
      </c>
      <c r="H13" s="34" t="s">
        <v>58</v>
      </c>
      <c r="I13" s="54">
        <v>45341</v>
      </c>
      <c r="J13" s="55" t="s">
        <v>51</v>
      </c>
      <c r="K13" s="24"/>
      <c r="L13" s="52"/>
      <c r="M13" s="155"/>
      <c r="N13" s="26"/>
      <c r="Q13" s="53" t="s">
        <v>67</v>
      </c>
      <c r="U13" s="28" t="s">
        <v>68</v>
      </c>
      <c r="W13" t="s">
        <v>69</v>
      </c>
      <c r="Y13" s="29" t="s">
        <v>70</v>
      </c>
    </row>
    <row r="14" spans="1:25" ht="39.6" x14ac:dyDescent="0.25">
      <c r="A14" s="30" t="s">
        <v>29</v>
      </c>
      <c r="B14" s="5" t="s">
        <v>71</v>
      </c>
      <c r="C14" s="56">
        <v>45352</v>
      </c>
      <c r="D14" s="18" t="s">
        <v>56</v>
      </c>
      <c r="E14" s="57" t="s">
        <v>23</v>
      </c>
      <c r="F14" s="58" t="s">
        <v>72</v>
      </c>
      <c r="G14" s="59" t="s">
        <v>49</v>
      </c>
      <c r="H14" s="60" t="s">
        <v>73</v>
      </c>
      <c r="I14" s="61"/>
      <c r="J14" s="62" t="s">
        <v>74</v>
      </c>
      <c r="K14" s="63"/>
      <c r="L14" s="25"/>
      <c r="M14" s="155"/>
      <c r="N14" s="26"/>
      <c r="Q14" s="47" t="s">
        <v>75</v>
      </c>
      <c r="U14" s="28" t="s">
        <v>76</v>
      </c>
      <c r="W14" t="s">
        <v>77</v>
      </c>
      <c r="Y14" s="29" t="s">
        <v>78</v>
      </c>
    </row>
    <row r="15" spans="1:25" ht="26.4" x14ac:dyDescent="0.25">
      <c r="A15" s="30" t="s">
        <v>29</v>
      </c>
      <c r="B15" s="5" t="s">
        <v>79</v>
      </c>
      <c r="C15" s="31">
        <v>45351</v>
      </c>
      <c r="D15" s="32" t="s">
        <v>43</v>
      </c>
      <c r="E15" s="32" t="s">
        <v>44</v>
      </c>
      <c r="F15" s="33" t="s">
        <v>80</v>
      </c>
      <c r="G15" s="34" t="s">
        <v>58</v>
      </c>
      <c r="H15" s="35" t="s">
        <v>58</v>
      </c>
      <c r="I15" s="36">
        <v>45351</v>
      </c>
      <c r="J15" s="37" t="s">
        <v>51</v>
      </c>
      <c r="K15" s="24">
        <f>+(246+56)*870</f>
        <v>262740</v>
      </c>
      <c r="L15" s="25">
        <v>25</v>
      </c>
      <c r="M15" s="159">
        <f>+L15*K15</f>
        <v>6568500</v>
      </c>
      <c r="N15" s="36">
        <v>45351</v>
      </c>
      <c r="Q15" s="47" t="s">
        <v>74</v>
      </c>
      <c r="U15" s="28"/>
      <c r="Y15" s="29"/>
    </row>
    <row r="16" spans="1:25" ht="26.4" x14ac:dyDescent="0.25">
      <c r="A16" s="30" t="s">
        <v>29</v>
      </c>
      <c r="B16" s="5" t="s">
        <v>81</v>
      </c>
      <c r="C16" s="31">
        <v>45370</v>
      </c>
      <c r="D16" s="32" t="s">
        <v>22</v>
      </c>
      <c r="E16" s="32" t="s">
        <v>23</v>
      </c>
      <c r="F16" s="33" t="s">
        <v>82</v>
      </c>
      <c r="G16" s="34" t="s">
        <v>58</v>
      </c>
      <c r="H16" s="35" t="s">
        <v>83</v>
      </c>
      <c r="I16" s="36">
        <v>45370</v>
      </c>
      <c r="J16" s="37" t="s">
        <v>51</v>
      </c>
      <c r="K16" s="24"/>
      <c r="L16" s="25"/>
      <c r="M16" s="155"/>
      <c r="N16" s="26"/>
      <c r="Q16" s="64" t="s">
        <v>51</v>
      </c>
      <c r="U16" s="28" t="s">
        <v>84</v>
      </c>
      <c r="Y16" s="29" t="s">
        <v>58</v>
      </c>
    </row>
    <row r="17" spans="1:25" s="68" customFormat="1" ht="26.4" x14ac:dyDescent="0.25">
      <c r="A17" s="15" t="s">
        <v>29</v>
      </c>
      <c r="B17" s="5" t="s">
        <v>85</v>
      </c>
      <c r="C17" s="56"/>
      <c r="D17" s="18"/>
      <c r="E17" s="18" t="s">
        <v>47</v>
      </c>
      <c r="F17" s="19" t="s">
        <v>86</v>
      </c>
      <c r="G17" s="65" t="s">
        <v>49</v>
      </c>
      <c r="H17" s="66" t="s">
        <v>87</v>
      </c>
      <c r="I17" s="22">
        <v>45370</v>
      </c>
      <c r="J17" s="67" t="s">
        <v>27</v>
      </c>
      <c r="K17" s="24"/>
      <c r="L17" s="25"/>
      <c r="M17" s="155"/>
      <c r="N17" s="26"/>
      <c r="Q17" s="47" t="s">
        <v>34</v>
      </c>
      <c r="U17" s="4" t="s">
        <v>61</v>
      </c>
      <c r="Y17" s="69" t="s">
        <v>88</v>
      </c>
    </row>
    <row r="18" spans="1:25" ht="26.4" x14ac:dyDescent="0.25">
      <c r="A18" s="30" t="s">
        <v>29</v>
      </c>
      <c r="B18" s="5" t="s">
        <v>89</v>
      </c>
      <c r="C18" s="31"/>
      <c r="D18" s="32"/>
      <c r="E18" s="32" t="s">
        <v>47</v>
      </c>
      <c r="F18" s="33" t="s">
        <v>90</v>
      </c>
      <c r="G18" s="34" t="s">
        <v>49</v>
      </c>
      <c r="H18" s="35" t="s">
        <v>91</v>
      </c>
      <c r="I18" s="36">
        <v>45377</v>
      </c>
      <c r="J18" s="37" t="s">
        <v>74</v>
      </c>
      <c r="K18" s="24"/>
      <c r="L18" s="25"/>
      <c r="M18" s="155"/>
      <c r="N18" s="26"/>
      <c r="Q18" s="53" t="s">
        <v>817</v>
      </c>
      <c r="U18" s="28" t="s">
        <v>92</v>
      </c>
      <c r="Y18" s="29" t="s">
        <v>93</v>
      </c>
    </row>
    <row r="19" spans="1:25" ht="26.4" x14ac:dyDescent="0.25">
      <c r="A19" s="30" t="s">
        <v>29</v>
      </c>
      <c r="B19" s="5" t="s">
        <v>94</v>
      </c>
      <c r="C19" s="31">
        <v>45377</v>
      </c>
      <c r="D19" s="32" t="s">
        <v>56</v>
      </c>
      <c r="E19" s="32" t="s">
        <v>47</v>
      </c>
      <c r="F19" s="33" t="s">
        <v>95</v>
      </c>
      <c r="G19" s="34" t="s">
        <v>58</v>
      </c>
      <c r="H19" s="35" t="s">
        <v>96</v>
      </c>
      <c r="I19" s="36">
        <v>45378</v>
      </c>
      <c r="J19" s="37" t="s">
        <v>41</v>
      </c>
      <c r="K19" s="24"/>
      <c r="L19" s="25"/>
      <c r="M19" s="155"/>
      <c r="N19" s="26"/>
      <c r="O19" s="70"/>
      <c r="Q19" s="53" t="s">
        <v>816</v>
      </c>
      <c r="U19" s="28" t="s">
        <v>56</v>
      </c>
      <c r="Y19" s="29" t="s">
        <v>97</v>
      </c>
    </row>
    <row r="20" spans="1:25" ht="26.4" x14ac:dyDescent="0.25">
      <c r="A20" s="30" t="s">
        <v>29</v>
      </c>
      <c r="B20" s="5" t="s">
        <v>98</v>
      </c>
      <c r="C20" s="31">
        <v>45377</v>
      </c>
      <c r="D20" s="32" t="s">
        <v>22</v>
      </c>
      <c r="E20" s="32" t="s">
        <v>23</v>
      </c>
      <c r="F20" s="33" t="s">
        <v>99</v>
      </c>
      <c r="G20" s="34" t="s">
        <v>58</v>
      </c>
      <c r="H20" s="35" t="s">
        <v>54</v>
      </c>
      <c r="I20" s="36">
        <v>45387</v>
      </c>
      <c r="J20" s="37" t="s">
        <v>51</v>
      </c>
      <c r="K20" s="24"/>
      <c r="L20" s="25"/>
      <c r="M20" s="155"/>
      <c r="N20" s="26"/>
      <c r="Q20" s="38"/>
      <c r="U20" s="28" t="s">
        <v>31</v>
      </c>
      <c r="Y20" s="29" t="s">
        <v>100</v>
      </c>
    </row>
    <row r="21" spans="1:25" ht="26.4" x14ac:dyDescent="0.25">
      <c r="A21" s="30" t="s">
        <v>29</v>
      </c>
      <c r="B21" s="5" t="s">
        <v>101</v>
      </c>
      <c r="C21" s="31">
        <v>45377</v>
      </c>
      <c r="D21" s="32" t="s">
        <v>61</v>
      </c>
      <c r="E21" s="32" t="s">
        <v>23</v>
      </c>
      <c r="F21" s="33" t="s">
        <v>102</v>
      </c>
      <c r="G21" s="34" t="s">
        <v>58</v>
      </c>
      <c r="H21" s="35" t="s">
        <v>103</v>
      </c>
      <c r="I21" s="36"/>
      <c r="J21" s="37" t="s">
        <v>51</v>
      </c>
      <c r="K21" s="24"/>
      <c r="L21" s="25"/>
      <c r="M21" s="155"/>
      <c r="N21" s="26"/>
      <c r="U21" s="28" t="s">
        <v>104</v>
      </c>
      <c r="Y21" s="29" t="s">
        <v>105</v>
      </c>
    </row>
    <row r="22" spans="1:25" x14ac:dyDescent="0.25">
      <c r="A22" s="30" t="s">
        <v>29</v>
      </c>
      <c r="B22" s="5" t="s">
        <v>106</v>
      </c>
      <c r="C22" s="31">
        <v>45390</v>
      </c>
      <c r="D22" s="32" t="s">
        <v>61</v>
      </c>
      <c r="E22" s="32" t="s">
        <v>47</v>
      </c>
      <c r="F22" s="33" t="s">
        <v>107</v>
      </c>
      <c r="G22" s="34" t="s">
        <v>58</v>
      </c>
      <c r="H22" s="35" t="s">
        <v>54</v>
      </c>
      <c r="I22" s="36">
        <v>45390</v>
      </c>
      <c r="J22" s="37" t="s">
        <v>51</v>
      </c>
      <c r="K22" s="24"/>
      <c r="L22" s="25"/>
      <c r="M22" s="155"/>
      <c r="N22" s="26"/>
      <c r="U22" s="28" t="s">
        <v>108</v>
      </c>
      <c r="Y22" s="29" t="s">
        <v>49</v>
      </c>
    </row>
    <row r="23" spans="1:25" x14ac:dyDescent="0.25">
      <c r="A23" s="30" t="s">
        <v>29</v>
      </c>
      <c r="B23" s="5" t="s">
        <v>109</v>
      </c>
      <c r="C23" s="31">
        <v>45373</v>
      </c>
      <c r="D23" s="32" t="s">
        <v>61</v>
      </c>
      <c r="E23" s="32" t="s">
        <v>47</v>
      </c>
      <c r="F23" s="33" t="s">
        <v>110</v>
      </c>
      <c r="G23" s="34" t="s">
        <v>25</v>
      </c>
      <c r="H23" s="35" t="s">
        <v>111</v>
      </c>
      <c r="I23" s="36">
        <v>45392</v>
      </c>
      <c r="J23" s="37" t="s">
        <v>34</v>
      </c>
      <c r="K23" s="24"/>
      <c r="L23" s="25"/>
      <c r="M23" s="155"/>
      <c r="N23" s="26"/>
      <c r="U23" s="28" t="s">
        <v>112</v>
      </c>
      <c r="Y23" s="29" t="s">
        <v>113</v>
      </c>
    </row>
    <row r="24" spans="1:25" ht="39.6" x14ac:dyDescent="0.25">
      <c r="A24" s="30" t="s">
        <v>29</v>
      </c>
      <c r="B24" s="5" t="s">
        <v>114</v>
      </c>
      <c r="C24" s="31">
        <v>45404</v>
      </c>
      <c r="D24" s="32" t="s">
        <v>56</v>
      </c>
      <c r="E24" s="32" t="s">
        <v>47</v>
      </c>
      <c r="F24" s="33" t="s">
        <v>115</v>
      </c>
      <c r="G24" s="34" t="s">
        <v>116</v>
      </c>
      <c r="H24" s="35" t="s">
        <v>117</v>
      </c>
      <c r="I24" s="36">
        <v>45412</v>
      </c>
      <c r="J24" s="37" t="s">
        <v>41</v>
      </c>
      <c r="K24" s="24"/>
      <c r="L24" s="25"/>
      <c r="M24" s="155"/>
      <c r="N24" s="26"/>
      <c r="Q24" s="53"/>
      <c r="U24" s="28"/>
      <c r="Y24" s="29" t="s">
        <v>118</v>
      </c>
    </row>
    <row r="25" spans="1:25" ht="26.4" x14ac:dyDescent="0.25">
      <c r="A25" s="30" t="s">
        <v>29</v>
      </c>
      <c r="B25" s="5" t="s">
        <v>119</v>
      </c>
      <c r="C25" s="31">
        <v>45412</v>
      </c>
      <c r="D25" s="32" t="s">
        <v>22</v>
      </c>
      <c r="E25" s="32" t="s">
        <v>23</v>
      </c>
      <c r="F25" s="33" t="s">
        <v>120</v>
      </c>
      <c r="G25" s="34" t="s">
        <v>49</v>
      </c>
      <c r="H25" s="35" t="s">
        <v>121</v>
      </c>
      <c r="I25" s="36"/>
      <c r="J25" s="37" t="s">
        <v>51</v>
      </c>
      <c r="K25" s="24"/>
      <c r="L25" s="25"/>
      <c r="M25" s="155"/>
      <c r="N25" s="26"/>
      <c r="Q25" s="53"/>
      <c r="Y25" s="29" t="s">
        <v>122</v>
      </c>
    </row>
    <row r="26" spans="1:25" ht="26.4" x14ac:dyDescent="0.25">
      <c r="A26" s="30" t="s">
        <v>29</v>
      </c>
      <c r="B26" s="5" t="s">
        <v>123</v>
      </c>
      <c r="C26" s="31">
        <v>45415</v>
      </c>
      <c r="D26" s="32" t="s">
        <v>56</v>
      </c>
      <c r="E26" s="32" t="s">
        <v>23</v>
      </c>
      <c r="F26" s="33" t="s">
        <v>124</v>
      </c>
      <c r="G26" s="34" t="s">
        <v>125</v>
      </c>
      <c r="H26" s="35" t="s">
        <v>126</v>
      </c>
      <c r="I26" s="36">
        <v>45594</v>
      </c>
      <c r="J26" s="37" t="s">
        <v>51</v>
      </c>
      <c r="K26" s="24"/>
      <c r="L26" s="25"/>
      <c r="M26" s="155"/>
      <c r="N26" s="26"/>
      <c r="Q26" s="53"/>
      <c r="Y26" s="29" t="s">
        <v>127</v>
      </c>
    </row>
    <row r="27" spans="1:25" ht="26.4" x14ac:dyDescent="0.25">
      <c r="A27" s="30" t="s">
        <v>29</v>
      </c>
      <c r="B27" s="5" t="s">
        <v>128</v>
      </c>
      <c r="C27" s="31">
        <v>45440</v>
      </c>
      <c r="D27" s="32" t="s">
        <v>31</v>
      </c>
      <c r="E27" s="32" t="s">
        <v>44</v>
      </c>
      <c r="F27" s="33" t="s">
        <v>129</v>
      </c>
      <c r="G27" s="34" t="s">
        <v>113</v>
      </c>
      <c r="H27" s="35" t="s">
        <v>130</v>
      </c>
      <c r="I27" s="36">
        <v>45458</v>
      </c>
      <c r="J27" s="37" t="s">
        <v>51</v>
      </c>
      <c r="K27" s="24">
        <f>862000-392103</f>
        <v>469897</v>
      </c>
      <c r="L27" s="25">
        <v>30</v>
      </c>
      <c r="M27" s="159">
        <f>+L27*K27</f>
        <v>14096910</v>
      </c>
      <c r="N27" s="26"/>
      <c r="Q27" s="53"/>
      <c r="Y27" s="29" t="s">
        <v>131</v>
      </c>
    </row>
    <row r="28" spans="1:25" ht="15" x14ac:dyDescent="0.25">
      <c r="A28" s="15" t="s">
        <v>29</v>
      </c>
      <c r="B28" s="5" t="s">
        <v>132</v>
      </c>
      <c r="C28" s="31">
        <v>45441</v>
      </c>
      <c r="D28" s="32" t="s">
        <v>31</v>
      </c>
      <c r="E28" s="18" t="s">
        <v>44</v>
      </c>
      <c r="F28" s="19" t="s">
        <v>133</v>
      </c>
      <c r="G28" s="34" t="s">
        <v>49</v>
      </c>
      <c r="H28" s="66" t="s">
        <v>134</v>
      </c>
      <c r="I28" s="22">
        <v>45442</v>
      </c>
      <c r="J28" s="67" t="s">
        <v>27</v>
      </c>
      <c r="K28" s="71">
        <f>338*950</f>
        <v>321100</v>
      </c>
      <c r="L28" s="25">
        <v>72</v>
      </c>
      <c r="M28" s="159">
        <f>+K28*L28</f>
        <v>23119200</v>
      </c>
      <c r="N28" s="26"/>
      <c r="Y28" s="29" t="s">
        <v>135</v>
      </c>
    </row>
    <row r="29" spans="1:25" s="68" customFormat="1" ht="26.4" x14ac:dyDescent="0.25">
      <c r="A29" s="15" t="s">
        <v>29</v>
      </c>
      <c r="B29" s="5" t="s">
        <v>136</v>
      </c>
      <c r="C29" s="56"/>
      <c r="D29" s="18" t="s">
        <v>56</v>
      </c>
      <c r="E29" s="18" t="s">
        <v>44</v>
      </c>
      <c r="F29" s="19" t="s">
        <v>137</v>
      </c>
      <c r="G29" s="65" t="s">
        <v>25</v>
      </c>
      <c r="H29" s="66" t="s">
        <v>138</v>
      </c>
      <c r="I29" s="22">
        <v>45510</v>
      </c>
      <c r="J29" s="67" t="s">
        <v>27</v>
      </c>
      <c r="K29" s="24"/>
      <c r="L29" s="25"/>
      <c r="M29" s="159">
        <v>10728512.994126359</v>
      </c>
      <c r="N29" s="26"/>
      <c r="Y29" s="69" t="s">
        <v>116</v>
      </c>
    </row>
    <row r="30" spans="1:25" ht="26.4" x14ac:dyDescent="0.25">
      <c r="A30" s="15" t="s">
        <v>29</v>
      </c>
      <c r="B30" s="5" t="s">
        <v>139</v>
      </c>
      <c r="C30" s="31">
        <v>45471</v>
      </c>
      <c r="D30" s="32" t="s">
        <v>56</v>
      </c>
      <c r="E30" s="32" t="s">
        <v>47</v>
      </c>
      <c r="F30" s="33" t="s">
        <v>140</v>
      </c>
      <c r="G30" s="34" t="s">
        <v>116</v>
      </c>
      <c r="H30" s="35"/>
      <c r="I30" s="36"/>
      <c r="J30" s="37" t="s">
        <v>41</v>
      </c>
      <c r="K30" s="24"/>
      <c r="L30" s="25"/>
      <c r="M30" s="155"/>
      <c r="N30" s="26"/>
      <c r="Y30" s="29" t="s">
        <v>125</v>
      </c>
    </row>
    <row r="31" spans="1:25" x14ac:dyDescent="0.25">
      <c r="A31" s="15" t="s">
        <v>29</v>
      </c>
      <c r="B31" s="5" t="s">
        <v>141</v>
      </c>
      <c r="C31" s="31">
        <v>45407</v>
      </c>
      <c r="D31" s="32"/>
      <c r="E31" s="32" t="s">
        <v>47</v>
      </c>
      <c r="F31" s="33" t="s">
        <v>758</v>
      </c>
      <c r="G31" s="34" t="s">
        <v>25</v>
      </c>
      <c r="H31" s="35" t="s">
        <v>167</v>
      </c>
      <c r="I31" s="36">
        <v>45490</v>
      </c>
      <c r="J31" s="37" t="s">
        <v>34</v>
      </c>
      <c r="K31" s="24"/>
      <c r="L31" s="25"/>
      <c r="M31" s="155"/>
      <c r="N31" s="26"/>
      <c r="Y31" s="29" t="s">
        <v>142</v>
      </c>
    </row>
    <row r="32" spans="1:25" s="68" customFormat="1" ht="26.4" x14ac:dyDescent="0.25">
      <c r="A32" s="15" t="s">
        <v>29</v>
      </c>
      <c r="B32" s="5" t="s">
        <v>143</v>
      </c>
      <c r="C32" s="56"/>
      <c r="D32" s="18" t="s">
        <v>61</v>
      </c>
      <c r="E32" s="18" t="s">
        <v>47</v>
      </c>
      <c r="F32" s="19" t="s">
        <v>759</v>
      </c>
      <c r="G32" s="65" t="s">
        <v>135</v>
      </c>
      <c r="H32" s="66" t="s">
        <v>213</v>
      </c>
      <c r="I32" s="22">
        <v>45537</v>
      </c>
      <c r="J32" s="67" t="s">
        <v>27</v>
      </c>
      <c r="K32" s="24"/>
      <c r="L32" s="25"/>
      <c r="M32" s="155"/>
      <c r="N32" s="26"/>
      <c r="Y32" s="69" t="s">
        <v>144</v>
      </c>
    </row>
    <row r="33" spans="1:25" ht="26.4" x14ac:dyDescent="0.25">
      <c r="A33" s="15" t="s">
        <v>29</v>
      </c>
      <c r="B33" s="5" t="s">
        <v>145</v>
      </c>
      <c r="C33" s="31">
        <v>45511</v>
      </c>
      <c r="D33" s="32" t="s">
        <v>43</v>
      </c>
      <c r="E33" s="32" t="s">
        <v>23</v>
      </c>
      <c r="F33" s="33" t="s">
        <v>761</v>
      </c>
      <c r="G33" s="34" t="s">
        <v>58</v>
      </c>
      <c r="H33" s="35" t="s">
        <v>760</v>
      </c>
      <c r="I33" s="36">
        <v>45264</v>
      </c>
      <c r="J33" s="37" t="s">
        <v>34</v>
      </c>
      <c r="K33" s="24"/>
      <c r="L33" s="25"/>
      <c r="M33" s="155"/>
      <c r="N33" s="26"/>
      <c r="Y33" s="29" t="s">
        <v>146</v>
      </c>
    </row>
    <row r="34" spans="1:25" s="68" customFormat="1" ht="39.6" x14ac:dyDescent="0.25">
      <c r="A34" s="15" t="s">
        <v>42</v>
      </c>
      <c r="B34" s="5" t="s">
        <v>147</v>
      </c>
      <c r="C34" s="56">
        <v>45516</v>
      </c>
      <c r="D34" s="18" t="s">
        <v>56</v>
      </c>
      <c r="E34" s="18" t="s">
        <v>44</v>
      </c>
      <c r="F34" s="19" t="s">
        <v>762</v>
      </c>
      <c r="G34" s="65" t="s">
        <v>135</v>
      </c>
      <c r="H34" s="66" t="s">
        <v>213</v>
      </c>
      <c r="I34" s="22">
        <v>45517</v>
      </c>
      <c r="J34" s="67" t="s">
        <v>27</v>
      </c>
      <c r="K34" s="24">
        <v>370886.63897516835</v>
      </c>
      <c r="L34" s="25">
        <v>14</v>
      </c>
      <c r="M34" s="159">
        <f>+L34*K34</f>
        <v>5192412.9456523564</v>
      </c>
      <c r="N34" s="26"/>
      <c r="Y34" s="69" t="s">
        <v>25</v>
      </c>
    </row>
    <row r="35" spans="1:25" ht="39.75" customHeight="1" x14ac:dyDescent="0.25">
      <c r="A35" s="15"/>
      <c r="B35" s="5" t="s">
        <v>148</v>
      </c>
      <c r="D35" s="28"/>
      <c r="E35" s="28"/>
      <c r="F35" s="28" t="s">
        <v>842</v>
      </c>
      <c r="G35" s="28"/>
      <c r="H35" s="28"/>
      <c r="I35" s="28"/>
      <c r="J35" s="28" t="s">
        <v>74</v>
      </c>
      <c r="K35" s="28"/>
      <c r="L35" s="25"/>
      <c r="M35" s="155"/>
      <c r="N35" s="26"/>
    </row>
    <row r="36" spans="1:25" ht="26.4" x14ac:dyDescent="0.25">
      <c r="A36" s="15" t="s">
        <v>29</v>
      </c>
      <c r="B36" s="5" t="s">
        <v>149</v>
      </c>
      <c r="C36" s="31">
        <v>45537</v>
      </c>
      <c r="D36" s="32" t="s">
        <v>43</v>
      </c>
      <c r="E36" s="32" t="s">
        <v>44</v>
      </c>
      <c r="F36" s="33" t="s">
        <v>764</v>
      </c>
      <c r="G36" s="34" t="s">
        <v>58</v>
      </c>
      <c r="H36" s="35" t="s">
        <v>765</v>
      </c>
      <c r="I36" s="36">
        <v>45544</v>
      </c>
      <c r="J36" s="37" t="s">
        <v>51</v>
      </c>
      <c r="K36" s="24">
        <v>16070</v>
      </c>
      <c r="L36" s="25"/>
      <c r="M36" s="155"/>
      <c r="N36" s="26"/>
    </row>
    <row r="37" spans="1:25" ht="29.25" customHeight="1" x14ac:dyDescent="0.25">
      <c r="A37" s="15" t="s">
        <v>29</v>
      </c>
      <c r="B37" s="5" t="s">
        <v>150</v>
      </c>
      <c r="C37" s="31">
        <v>45547</v>
      </c>
      <c r="D37" s="32" t="s">
        <v>22</v>
      </c>
      <c r="E37" s="32" t="s">
        <v>23</v>
      </c>
      <c r="F37" s="33" t="s">
        <v>779</v>
      </c>
      <c r="G37" s="34" t="s">
        <v>49</v>
      </c>
      <c r="H37" s="35" t="s">
        <v>780</v>
      </c>
      <c r="I37" s="36">
        <v>45547</v>
      </c>
      <c r="J37" s="37" t="s">
        <v>74</v>
      </c>
      <c r="K37" s="24" t="s">
        <v>767</v>
      </c>
      <c r="L37" s="25"/>
      <c r="M37" s="155"/>
      <c r="N37" s="26"/>
    </row>
    <row r="38" spans="1:25" ht="26.4" x14ac:dyDescent="0.25">
      <c r="A38" s="106" t="s">
        <v>29</v>
      </c>
      <c r="B38" s="5" t="s">
        <v>763</v>
      </c>
      <c r="C38" s="31">
        <v>45546</v>
      </c>
      <c r="D38" s="32" t="s">
        <v>43</v>
      </c>
      <c r="E38" s="32" t="s">
        <v>47</v>
      </c>
      <c r="F38" s="33" t="s">
        <v>766</v>
      </c>
      <c r="G38" s="34" t="s">
        <v>37</v>
      </c>
      <c r="H38" s="35" t="s">
        <v>756</v>
      </c>
      <c r="I38" s="36">
        <v>45546</v>
      </c>
      <c r="J38" s="79" t="s">
        <v>34</v>
      </c>
      <c r="K38" s="8"/>
      <c r="L38" s="9"/>
      <c r="M38" s="154"/>
      <c r="N38" s="10"/>
    </row>
    <row r="39" spans="1:25" x14ac:dyDescent="0.25">
      <c r="A39" s="106" t="s">
        <v>29</v>
      </c>
      <c r="B39" s="5" t="s">
        <v>768</v>
      </c>
      <c r="C39" s="73">
        <v>45547</v>
      </c>
      <c r="D39" s="74" t="s">
        <v>61</v>
      </c>
      <c r="E39" s="74" t="s">
        <v>47</v>
      </c>
      <c r="F39" s="33" t="s">
        <v>843</v>
      </c>
      <c r="G39" s="76" t="s">
        <v>37</v>
      </c>
      <c r="H39" s="77" t="s">
        <v>230</v>
      </c>
      <c r="I39" s="78">
        <v>45644</v>
      </c>
      <c r="J39" s="79" t="s">
        <v>27</v>
      </c>
      <c r="K39" s="8"/>
      <c r="L39" s="9"/>
      <c r="M39" s="154"/>
      <c r="N39" s="10"/>
    </row>
    <row r="40" spans="1:25" ht="37.5" customHeight="1" x14ac:dyDescent="0.25">
      <c r="A40" s="106" t="s">
        <v>29</v>
      </c>
      <c r="B40" s="5" t="s">
        <v>769</v>
      </c>
      <c r="C40" s="108">
        <v>45548</v>
      </c>
      <c r="D40" s="109" t="s">
        <v>22</v>
      </c>
      <c r="E40" s="109" t="s">
        <v>23</v>
      </c>
      <c r="F40" s="19" t="s">
        <v>770</v>
      </c>
      <c r="G40" s="111" t="s">
        <v>58</v>
      </c>
      <c r="H40" s="112" t="s">
        <v>757</v>
      </c>
      <c r="I40" s="113">
        <v>45548</v>
      </c>
      <c r="J40" s="114" t="s">
        <v>51</v>
      </c>
      <c r="K40" s="8"/>
      <c r="L40" s="9"/>
      <c r="M40" s="154"/>
      <c r="N40" s="10"/>
    </row>
    <row r="41" spans="1:25" ht="26.25" customHeight="1" x14ac:dyDescent="0.25">
      <c r="A41" s="72" t="s">
        <v>29</v>
      </c>
      <c r="B41" s="5" t="s">
        <v>771</v>
      </c>
      <c r="C41" s="73">
        <v>45547</v>
      </c>
      <c r="D41" s="74" t="s">
        <v>22</v>
      </c>
      <c r="E41" s="74" t="s">
        <v>23</v>
      </c>
      <c r="F41" s="75" t="s">
        <v>772</v>
      </c>
      <c r="G41" s="76" t="s">
        <v>58</v>
      </c>
      <c r="H41" s="77" t="s">
        <v>773</v>
      </c>
      <c r="I41" s="78">
        <v>45551</v>
      </c>
      <c r="J41" s="79" t="s">
        <v>34</v>
      </c>
      <c r="K41" s="8"/>
      <c r="L41" s="9"/>
      <c r="M41" s="154"/>
      <c r="N41" s="10"/>
    </row>
    <row r="42" spans="1:25" ht="30.75" customHeight="1" x14ac:dyDescent="0.25">
      <c r="A42" s="72" t="s">
        <v>29</v>
      </c>
      <c r="B42" s="5" t="s">
        <v>774</v>
      </c>
      <c r="C42" s="73">
        <v>45517</v>
      </c>
      <c r="D42" s="74" t="s">
        <v>61</v>
      </c>
      <c r="E42" s="74" t="s">
        <v>23</v>
      </c>
      <c r="F42" s="75" t="s">
        <v>775</v>
      </c>
      <c r="G42" s="76" t="s">
        <v>116</v>
      </c>
      <c r="H42" s="77" t="s">
        <v>167</v>
      </c>
      <c r="I42" s="78">
        <v>45551</v>
      </c>
      <c r="J42" s="79" t="s">
        <v>34</v>
      </c>
      <c r="K42" s="8"/>
      <c r="L42" s="9"/>
      <c r="M42" s="154"/>
      <c r="N42" s="10"/>
    </row>
    <row r="43" spans="1:25" ht="46.2" x14ac:dyDescent="0.25">
      <c r="A43" s="72" t="s">
        <v>29</v>
      </c>
      <c r="B43" s="5" t="s">
        <v>776</v>
      </c>
      <c r="C43" s="73">
        <v>45429</v>
      </c>
      <c r="D43" s="74" t="s">
        <v>56</v>
      </c>
      <c r="E43" s="74" t="s">
        <v>47</v>
      </c>
      <c r="F43" s="75" t="s">
        <v>777</v>
      </c>
      <c r="G43" s="76" t="s">
        <v>116</v>
      </c>
      <c r="H43" s="77" t="s">
        <v>182</v>
      </c>
      <c r="I43" s="78">
        <v>45429</v>
      </c>
      <c r="J43" s="79" t="s">
        <v>41</v>
      </c>
      <c r="K43" s="8"/>
      <c r="L43" s="9"/>
      <c r="M43" s="154"/>
      <c r="N43" s="10"/>
    </row>
    <row r="44" spans="1:25" x14ac:dyDescent="0.25">
      <c r="A44" s="72" t="s">
        <v>29</v>
      </c>
      <c r="B44" s="5" t="s">
        <v>778</v>
      </c>
      <c r="C44" s="73">
        <v>45565</v>
      </c>
      <c r="D44" s="74" t="s">
        <v>56</v>
      </c>
      <c r="E44" s="74" t="s">
        <v>47</v>
      </c>
      <c r="F44" s="75" t="s">
        <v>782</v>
      </c>
      <c r="G44" s="76" t="s">
        <v>49</v>
      </c>
      <c r="H44" s="77" t="s">
        <v>781</v>
      </c>
      <c r="I44" s="78">
        <v>45565</v>
      </c>
      <c r="J44" s="79" t="s">
        <v>74</v>
      </c>
      <c r="K44" s="8"/>
      <c r="L44" s="9"/>
      <c r="M44" s="154"/>
      <c r="N44" s="10"/>
    </row>
    <row r="45" spans="1:25" ht="27" customHeight="1" x14ac:dyDescent="0.25">
      <c r="A45" s="72" t="s">
        <v>29</v>
      </c>
      <c r="B45" s="80" t="s">
        <v>783</v>
      </c>
      <c r="C45" s="73">
        <v>45565</v>
      </c>
      <c r="D45" s="74" t="s">
        <v>22</v>
      </c>
      <c r="E45" s="74" t="s">
        <v>47</v>
      </c>
      <c r="F45" s="75" t="s">
        <v>784</v>
      </c>
      <c r="G45" s="76" t="s">
        <v>88</v>
      </c>
      <c r="H45" s="77" t="s">
        <v>785</v>
      </c>
      <c r="I45" s="78">
        <v>45565</v>
      </c>
      <c r="J45" s="79" t="s">
        <v>34</v>
      </c>
      <c r="K45" s="8"/>
      <c r="L45" s="9"/>
      <c r="M45" s="154"/>
      <c r="N45" s="10"/>
    </row>
    <row r="46" spans="1:25" ht="35.25" customHeight="1" x14ac:dyDescent="0.25">
      <c r="A46" s="72" t="s">
        <v>29</v>
      </c>
      <c r="B46" s="80" t="s">
        <v>786</v>
      </c>
      <c r="C46" s="73">
        <v>45572</v>
      </c>
      <c r="D46" s="74" t="s">
        <v>22</v>
      </c>
      <c r="E46" s="74" t="s">
        <v>47</v>
      </c>
      <c r="F46" s="75" t="s">
        <v>790</v>
      </c>
      <c r="G46" s="76" t="s">
        <v>58</v>
      </c>
      <c r="H46" s="77" t="s">
        <v>787</v>
      </c>
      <c r="I46" s="78">
        <v>45625</v>
      </c>
      <c r="J46" s="79" t="s">
        <v>51</v>
      </c>
      <c r="K46" s="8"/>
      <c r="L46" s="9"/>
      <c r="M46" s="154"/>
      <c r="N46" s="10"/>
    </row>
    <row r="47" spans="1:25" x14ac:dyDescent="0.25">
      <c r="A47" s="72" t="s">
        <v>29</v>
      </c>
      <c r="B47" s="80" t="s">
        <v>788</v>
      </c>
      <c r="C47" s="73">
        <v>45573</v>
      </c>
      <c r="D47" s="74" t="s">
        <v>22</v>
      </c>
      <c r="E47" s="74" t="s">
        <v>23</v>
      </c>
      <c r="F47" s="75" t="s">
        <v>789</v>
      </c>
      <c r="G47" s="76" t="s">
        <v>49</v>
      </c>
      <c r="H47" s="77" t="s">
        <v>134</v>
      </c>
      <c r="I47" s="78">
        <v>45573</v>
      </c>
      <c r="J47" s="79" t="s">
        <v>34</v>
      </c>
      <c r="K47" s="8"/>
      <c r="L47" s="9"/>
      <c r="M47" s="154"/>
      <c r="N47" s="10"/>
    </row>
    <row r="48" spans="1:25" ht="33" customHeight="1" x14ac:dyDescent="0.25">
      <c r="A48" s="72" t="s">
        <v>29</v>
      </c>
      <c r="B48" s="80" t="s">
        <v>791</v>
      </c>
      <c r="C48" s="73"/>
      <c r="D48" s="74"/>
      <c r="E48" s="74"/>
      <c r="F48" s="131" t="s">
        <v>841</v>
      </c>
      <c r="G48" s="76"/>
      <c r="H48" s="77"/>
      <c r="I48" s="78"/>
      <c r="J48" s="79" t="s">
        <v>74</v>
      </c>
      <c r="K48" s="8"/>
      <c r="L48" s="9"/>
      <c r="M48" s="154"/>
      <c r="N48" s="10"/>
    </row>
    <row r="49" spans="1:14" x14ac:dyDescent="0.25">
      <c r="A49" s="72" t="s">
        <v>29</v>
      </c>
      <c r="B49" s="80" t="s">
        <v>793</v>
      </c>
      <c r="C49" s="73">
        <v>45586</v>
      </c>
      <c r="D49" s="74" t="s">
        <v>22</v>
      </c>
      <c r="E49" s="74" t="s">
        <v>23</v>
      </c>
      <c r="F49" s="75" t="s">
        <v>792</v>
      </c>
      <c r="G49" s="76" t="s">
        <v>58</v>
      </c>
      <c r="H49" s="77" t="s">
        <v>103</v>
      </c>
      <c r="I49" s="78">
        <v>45586</v>
      </c>
      <c r="J49" s="79" t="s">
        <v>51</v>
      </c>
      <c r="K49" s="8"/>
      <c r="L49" s="9"/>
      <c r="M49" s="154"/>
      <c r="N49" s="10"/>
    </row>
    <row r="50" spans="1:14" ht="23.4" x14ac:dyDescent="0.25">
      <c r="A50" s="72" t="s">
        <v>29</v>
      </c>
      <c r="B50" s="80" t="s">
        <v>794</v>
      </c>
      <c r="C50" s="73">
        <v>45587</v>
      </c>
      <c r="D50" s="74" t="s">
        <v>56</v>
      </c>
      <c r="E50" s="74" t="s">
        <v>23</v>
      </c>
      <c r="F50" s="132" t="s">
        <v>805</v>
      </c>
      <c r="G50" s="76" t="s">
        <v>49</v>
      </c>
      <c r="H50" s="77" t="s">
        <v>134</v>
      </c>
      <c r="I50" s="78">
        <v>45587</v>
      </c>
      <c r="J50" s="79" t="s">
        <v>74</v>
      </c>
      <c r="K50" s="8"/>
      <c r="L50" s="9"/>
      <c r="M50" s="154"/>
      <c r="N50" s="10"/>
    </row>
    <row r="51" spans="1:14" x14ac:dyDescent="0.25">
      <c r="A51" s="72" t="s">
        <v>29</v>
      </c>
      <c r="B51" s="80" t="s">
        <v>795</v>
      </c>
      <c r="C51" s="73">
        <v>45589</v>
      </c>
      <c r="D51" s="74" t="s">
        <v>56</v>
      </c>
      <c r="E51" s="74" t="s">
        <v>23</v>
      </c>
      <c r="F51" s="75" t="s">
        <v>807</v>
      </c>
      <c r="G51" s="76" t="s">
        <v>49</v>
      </c>
      <c r="H51" s="77" t="s">
        <v>806</v>
      </c>
      <c r="I51" s="78">
        <v>45589</v>
      </c>
      <c r="J51" s="79" t="s">
        <v>27</v>
      </c>
      <c r="K51" s="8"/>
      <c r="L51" s="9"/>
      <c r="M51" s="154"/>
      <c r="N51" s="10"/>
    </row>
    <row r="52" spans="1:14" ht="33.75" customHeight="1" x14ac:dyDescent="0.25">
      <c r="A52" s="72" t="s">
        <v>29</v>
      </c>
      <c r="B52" s="80" t="s">
        <v>796</v>
      </c>
      <c r="C52" s="73">
        <v>45593</v>
      </c>
      <c r="D52" s="74" t="s">
        <v>61</v>
      </c>
      <c r="E52" s="74" t="s">
        <v>47</v>
      </c>
      <c r="F52" s="75" t="s">
        <v>808</v>
      </c>
      <c r="G52" s="76" t="s">
        <v>144</v>
      </c>
      <c r="H52" s="77" t="s">
        <v>809</v>
      </c>
      <c r="I52" s="78">
        <v>45593</v>
      </c>
      <c r="J52" s="79" t="s">
        <v>51</v>
      </c>
      <c r="K52" s="8"/>
      <c r="L52" s="9"/>
      <c r="M52" s="154"/>
      <c r="N52" s="10"/>
    </row>
    <row r="53" spans="1:14" ht="23.4" x14ac:dyDescent="0.25">
      <c r="A53" s="72" t="s">
        <v>20</v>
      </c>
      <c r="B53" s="80" t="s">
        <v>797</v>
      </c>
      <c r="C53" s="73">
        <v>45593</v>
      </c>
      <c r="D53" s="74" t="s">
        <v>56</v>
      </c>
      <c r="E53" s="74" t="s">
        <v>36</v>
      </c>
      <c r="F53" s="75" t="s">
        <v>811</v>
      </c>
      <c r="G53" s="76" t="s">
        <v>116</v>
      </c>
      <c r="H53" s="77" t="s">
        <v>810</v>
      </c>
      <c r="I53" s="78"/>
      <c r="J53" s="79" t="s">
        <v>41</v>
      </c>
      <c r="K53" s="8"/>
      <c r="L53" s="9"/>
      <c r="M53" s="154"/>
      <c r="N53" s="10"/>
    </row>
    <row r="54" spans="1:14" ht="23.4" x14ac:dyDescent="0.25">
      <c r="A54" s="81" t="s">
        <v>29</v>
      </c>
      <c r="B54" s="80" t="s">
        <v>798</v>
      </c>
      <c r="C54" s="83">
        <v>45596</v>
      </c>
      <c r="D54" s="84" t="s">
        <v>56</v>
      </c>
      <c r="E54" s="84" t="s">
        <v>44</v>
      </c>
      <c r="F54" s="85" t="s">
        <v>812</v>
      </c>
      <c r="G54" s="86" t="s">
        <v>49</v>
      </c>
      <c r="H54" s="87" t="s">
        <v>813</v>
      </c>
      <c r="I54" s="88">
        <v>45596</v>
      </c>
      <c r="J54" s="89" t="s">
        <v>74</v>
      </c>
      <c r="K54" s="90"/>
      <c r="L54" s="91"/>
      <c r="M54" s="156"/>
      <c r="N54" s="92"/>
    </row>
    <row r="55" spans="1:14" x14ac:dyDescent="0.25">
      <c r="A55" s="72" t="s">
        <v>29</v>
      </c>
      <c r="B55" s="80" t="s">
        <v>799</v>
      </c>
      <c r="C55" s="94">
        <v>45601</v>
      </c>
      <c r="D55" s="95" t="s">
        <v>68</v>
      </c>
      <c r="E55" s="28" t="s">
        <v>23</v>
      </c>
      <c r="F55" s="75" t="s">
        <v>814</v>
      </c>
      <c r="G55" s="28" t="s">
        <v>49</v>
      </c>
      <c r="H55" s="77" t="s">
        <v>815</v>
      </c>
      <c r="I55" s="94">
        <v>45617</v>
      </c>
      <c r="J55" s="96" t="s">
        <v>817</v>
      </c>
      <c r="K55" s="28"/>
      <c r="L55" s="28"/>
      <c r="M55" s="151"/>
      <c r="N55" s="28"/>
    </row>
    <row r="56" spans="1:14" ht="26.4" x14ac:dyDescent="0.25">
      <c r="A56" s="72" t="s">
        <v>29</v>
      </c>
      <c r="B56" s="80" t="s">
        <v>800</v>
      </c>
      <c r="C56" s="94">
        <v>45595</v>
      </c>
      <c r="D56" s="28" t="s">
        <v>56</v>
      </c>
      <c r="E56" s="28" t="s">
        <v>44</v>
      </c>
      <c r="F56" s="33" t="s">
        <v>818</v>
      </c>
      <c r="G56" s="28" t="s">
        <v>58</v>
      </c>
      <c r="H56" s="77" t="s">
        <v>210</v>
      </c>
      <c r="I56" s="94">
        <v>45604</v>
      </c>
      <c r="J56" s="55" t="s">
        <v>51</v>
      </c>
      <c r="K56" s="148">
        <v>13357.17</v>
      </c>
      <c r="L56" s="100">
        <v>30</v>
      </c>
      <c r="M56" s="149">
        <f>K56*L56</f>
        <v>400715.1</v>
      </c>
      <c r="N56" s="100"/>
    </row>
    <row r="57" spans="1:14" s="64" customFormat="1" ht="32.25" customHeight="1" x14ac:dyDescent="0.25">
      <c r="A57" s="50" t="s">
        <v>29</v>
      </c>
      <c r="B57" s="80" t="s">
        <v>801</v>
      </c>
      <c r="C57" s="51">
        <v>45608</v>
      </c>
      <c r="D57" s="32" t="s">
        <v>56</v>
      </c>
      <c r="E57" s="32" t="s">
        <v>23</v>
      </c>
      <c r="F57" s="98" t="s">
        <v>819</v>
      </c>
      <c r="G57" s="50" t="s">
        <v>58</v>
      </c>
      <c r="H57" s="25" t="s">
        <v>820</v>
      </c>
      <c r="I57" s="51">
        <v>45608</v>
      </c>
      <c r="J57" s="50" t="s">
        <v>51</v>
      </c>
      <c r="K57" s="50"/>
      <c r="L57" s="50"/>
      <c r="M57" s="157"/>
      <c r="N57" s="50"/>
    </row>
    <row r="58" spans="1:14" s="64" customFormat="1" ht="29.25" customHeight="1" x14ac:dyDescent="0.25">
      <c r="A58" s="50" t="s">
        <v>29</v>
      </c>
      <c r="B58" s="80" t="s">
        <v>802</v>
      </c>
      <c r="C58" s="51">
        <v>45615</v>
      </c>
      <c r="D58" s="50" t="s">
        <v>56</v>
      </c>
      <c r="E58" s="50" t="s">
        <v>47</v>
      </c>
      <c r="F58" s="98" t="s">
        <v>821</v>
      </c>
      <c r="G58" s="50" t="s">
        <v>49</v>
      </c>
      <c r="H58" s="50" t="s">
        <v>822</v>
      </c>
      <c r="I58" s="51">
        <v>45715</v>
      </c>
      <c r="J58" s="50" t="s">
        <v>816</v>
      </c>
      <c r="K58" s="50"/>
      <c r="L58" s="50"/>
      <c r="M58" s="157"/>
      <c r="N58" s="50"/>
    </row>
    <row r="59" spans="1:14" s="139" customFormat="1" ht="33.75" customHeight="1" x14ac:dyDescent="0.25">
      <c r="A59" s="136" t="s">
        <v>29</v>
      </c>
      <c r="B59" s="107" t="s">
        <v>803</v>
      </c>
      <c r="C59" s="137">
        <v>45646</v>
      </c>
      <c r="D59" s="136" t="s">
        <v>56</v>
      </c>
      <c r="E59" s="136" t="s">
        <v>23</v>
      </c>
      <c r="F59" s="98" t="s">
        <v>844</v>
      </c>
      <c r="G59" s="136" t="s">
        <v>37</v>
      </c>
      <c r="H59" s="25" t="s">
        <v>851</v>
      </c>
      <c r="I59" s="138">
        <v>45692</v>
      </c>
      <c r="J59" s="136" t="s">
        <v>27</v>
      </c>
      <c r="K59" s="136"/>
      <c r="L59" s="136"/>
      <c r="M59" s="158"/>
      <c r="N59" s="136"/>
    </row>
    <row r="60" spans="1:14" s="64" customFormat="1" ht="38.25" customHeight="1" x14ac:dyDescent="0.25">
      <c r="A60" s="50" t="s">
        <v>29</v>
      </c>
      <c r="B60" s="80" t="s">
        <v>804</v>
      </c>
      <c r="C60" s="51">
        <v>45621</v>
      </c>
      <c r="D60" s="50" t="s">
        <v>56</v>
      </c>
      <c r="E60" s="50" t="s">
        <v>44</v>
      </c>
      <c r="F60" s="99" t="s">
        <v>832</v>
      </c>
      <c r="G60" s="50" t="s">
        <v>25</v>
      </c>
      <c r="H60" s="98" t="s">
        <v>833</v>
      </c>
      <c r="I60" s="51">
        <v>45623</v>
      </c>
      <c r="J60" s="50" t="s">
        <v>816</v>
      </c>
      <c r="K60" s="50"/>
      <c r="L60" s="50"/>
      <c r="M60" s="157"/>
      <c r="N60" s="50"/>
    </row>
    <row r="61" spans="1:14" s="64" customFormat="1" ht="41.25" customHeight="1" x14ac:dyDescent="0.25">
      <c r="A61" s="50"/>
      <c r="B61" s="80" t="s">
        <v>823</v>
      </c>
      <c r="C61" s="51"/>
      <c r="D61" s="50"/>
      <c r="E61" s="98"/>
      <c r="F61" s="98" t="s">
        <v>840</v>
      </c>
      <c r="G61" s="50"/>
      <c r="H61" s="50"/>
      <c r="I61" s="51"/>
      <c r="J61" s="50" t="s">
        <v>74</v>
      </c>
      <c r="K61" s="50"/>
      <c r="L61" s="50"/>
      <c r="M61" s="157"/>
      <c r="N61" s="50"/>
    </row>
    <row r="62" spans="1:14" s="64" customFormat="1" ht="26.4" x14ac:dyDescent="0.25">
      <c r="A62" s="50" t="s">
        <v>29</v>
      </c>
      <c r="B62" s="80" t="s">
        <v>824</v>
      </c>
      <c r="C62" s="51">
        <v>45621</v>
      </c>
      <c r="D62" s="50" t="s">
        <v>43</v>
      </c>
      <c r="E62" s="50" t="s">
        <v>44</v>
      </c>
      <c r="F62" s="98" t="s">
        <v>834</v>
      </c>
      <c r="G62" s="50" t="s">
        <v>58</v>
      </c>
      <c r="H62" s="50" t="s">
        <v>835</v>
      </c>
      <c r="I62" s="51">
        <v>45629</v>
      </c>
      <c r="J62" s="50" t="s">
        <v>816</v>
      </c>
      <c r="K62" s="50"/>
      <c r="L62" s="50"/>
      <c r="M62" s="157"/>
      <c r="N62" s="50"/>
    </row>
    <row r="63" spans="1:14" ht="53.25" customHeight="1" x14ac:dyDescent="0.25">
      <c r="A63" s="28" t="s">
        <v>29</v>
      </c>
      <c r="B63" s="80" t="s">
        <v>825</v>
      </c>
      <c r="C63" s="94">
        <v>45630</v>
      </c>
      <c r="D63" s="50"/>
      <c r="E63" s="28" t="s">
        <v>47</v>
      </c>
      <c r="F63" s="98" t="s">
        <v>836</v>
      </c>
      <c r="G63" s="25" t="s">
        <v>49</v>
      </c>
      <c r="H63" s="98" t="s">
        <v>837</v>
      </c>
      <c r="I63" s="94"/>
      <c r="J63" s="98" t="s">
        <v>34</v>
      </c>
      <c r="K63" s="28"/>
      <c r="L63" s="28"/>
      <c r="M63" s="151"/>
      <c r="N63" s="28"/>
    </row>
    <row r="64" spans="1:14" ht="43.5" customHeight="1" x14ac:dyDescent="0.25">
      <c r="A64" s="28"/>
      <c r="B64" s="80" t="s">
        <v>826</v>
      </c>
      <c r="C64" s="94">
        <v>45637</v>
      </c>
      <c r="D64" s="25" t="s">
        <v>56</v>
      </c>
      <c r="E64" s="100" t="s">
        <v>69</v>
      </c>
      <c r="F64" s="98" t="s">
        <v>839</v>
      </c>
      <c r="G64" s="25" t="s">
        <v>49</v>
      </c>
      <c r="H64" s="25" t="s">
        <v>838</v>
      </c>
      <c r="I64" s="133">
        <v>45637</v>
      </c>
      <c r="J64" s="98" t="s">
        <v>52</v>
      </c>
      <c r="K64" s="28"/>
      <c r="L64" s="28"/>
      <c r="M64" s="151"/>
      <c r="N64" s="28"/>
    </row>
    <row r="65" spans="1:14" ht="26.4" x14ac:dyDescent="0.25">
      <c r="A65" s="28" t="s">
        <v>29</v>
      </c>
      <c r="B65" s="80" t="s">
        <v>827</v>
      </c>
      <c r="C65" s="94">
        <v>45646</v>
      </c>
      <c r="D65" s="100" t="s">
        <v>56</v>
      </c>
      <c r="E65" s="28" t="s">
        <v>23</v>
      </c>
      <c r="F65" s="98" t="s">
        <v>845</v>
      </c>
      <c r="G65" s="28" t="s">
        <v>125</v>
      </c>
      <c r="H65" s="98" t="s">
        <v>126</v>
      </c>
      <c r="I65" s="101">
        <v>45646</v>
      </c>
      <c r="J65" s="98" t="s">
        <v>51</v>
      </c>
      <c r="K65" s="28"/>
      <c r="L65" s="28"/>
      <c r="M65" s="151"/>
      <c r="N65" s="28"/>
    </row>
    <row r="66" spans="1:14" s="102" customFormat="1" ht="38.25" customHeight="1" x14ac:dyDescent="0.25">
      <c r="A66" s="28" t="s">
        <v>29</v>
      </c>
      <c r="B66" s="80" t="s">
        <v>828</v>
      </c>
      <c r="C66" s="94">
        <v>45650</v>
      </c>
      <c r="D66" s="25" t="s">
        <v>61</v>
      </c>
      <c r="E66" s="100" t="s">
        <v>23</v>
      </c>
      <c r="F66" s="98" t="s">
        <v>846</v>
      </c>
      <c r="G66" s="25" t="s">
        <v>58</v>
      </c>
      <c r="H66" s="98" t="s">
        <v>847</v>
      </c>
      <c r="I66" s="25"/>
      <c r="J66" s="98" t="s">
        <v>51</v>
      </c>
      <c r="K66" s="28"/>
      <c r="L66" s="28"/>
      <c r="M66" s="151"/>
      <c r="N66" s="28"/>
    </row>
    <row r="67" spans="1:14" ht="46.5" customHeight="1" x14ac:dyDescent="0.25">
      <c r="A67" s="28" t="s">
        <v>29</v>
      </c>
      <c r="B67" s="80" t="s">
        <v>829</v>
      </c>
      <c r="C67" s="94">
        <v>45653</v>
      </c>
      <c r="D67" s="100" t="s">
        <v>61</v>
      </c>
      <c r="E67" s="100" t="s">
        <v>23</v>
      </c>
      <c r="F67" s="98" t="s">
        <v>848</v>
      </c>
      <c r="G67" s="100" t="s">
        <v>49</v>
      </c>
      <c r="H67" s="103" t="s">
        <v>849</v>
      </c>
      <c r="I67" s="101">
        <v>45653</v>
      </c>
      <c r="J67" s="98" t="s">
        <v>74</v>
      </c>
      <c r="K67" s="28"/>
      <c r="L67" s="28"/>
      <c r="M67" s="151"/>
      <c r="N67" s="28"/>
    </row>
    <row r="68" spans="1:14" ht="15" x14ac:dyDescent="0.25">
      <c r="A68" s="28" t="s">
        <v>29</v>
      </c>
      <c r="B68" s="80" t="s">
        <v>830</v>
      </c>
      <c r="C68" s="94">
        <v>45653</v>
      </c>
      <c r="D68" s="100" t="s">
        <v>56</v>
      </c>
      <c r="E68" s="100" t="s">
        <v>44</v>
      </c>
      <c r="F68" s="98" t="s">
        <v>850</v>
      </c>
      <c r="G68" s="100" t="s">
        <v>49</v>
      </c>
      <c r="H68" s="103" t="s">
        <v>167</v>
      </c>
      <c r="I68" s="101">
        <v>45653</v>
      </c>
      <c r="J68" s="98" t="s">
        <v>34</v>
      </c>
      <c r="K68" s="134">
        <v>1127</v>
      </c>
      <c r="L68" s="135">
        <v>1800</v>
      </c>
      <c r="M68" s="159">
        <v>2028618</v>
      </c>
      <c r="N68" s="28"/>
    </row>
    <row r="69" spans="1:14" s="102" customFormat="1" ht="30" customHeight="1" x14ac:dyDescent="0.25">
      <c r="A69" s="100"/>
      <c r="B69" s="5"/>
      <c r="C69" s="101"/>
      <c r="D69" s="100"/>
      <c r="E69" s="100"/>
      <c r="F69" s="98"/>
      <c r="G69" s="100"/>
      <c r="H69" s="103"/>
      <c r="I69" s="101"/>
      <c r="J69" s="98"/>
      <c r="M69" s="160"/>
    </row>
    <row r="70" spans="1:14" s="102" customFormat="1" ht="27.75" customHeight="1" x14ac:dyDescent="0.25">
      <c r="A70" s="103"/>
      <c r="B70" s="105"/>
      <c r="C70" s="104"/>
      <c r="D70" s="103"/>
      <c r="E70" s="103"/>
      <c r="F70" s="98"/>
      <c r="G70" s="103"/>
      <c r="H70" s="103"/>
      <c r="I70" s="104"/>
      <c r="J70" s="98"/>
      <c r="M70" s="160"/>
    </row>
    <row r="71" spans="1:14" s="102" customFormat="1" ht="37.5" customHeight="1" x14ac:dyDescent="0.25">
      <c r="A71" s="100"/>
      <c r="B71" s="5"/>
      <c r="C71" s="101"/>
      <c r="D71" s="100"/>
      <c r="E71" s="100"/>
      <c r="F71" s="103"/>
      <c r="G71" s="100"/>
      <c r="H71" s="100"/>
      <c r="I71" s="101"/>
      <c r="J71" s="100"/>
      <c r="M71" s="160"/>
    </row>
    <row r="72" spans="1:14" s="102" customFormat="1" ht="42" customHeight="1" x14ac:dyDescent="0.25">
      <c r="A72" s="100"/>
      <c r="B72" s="5"/>
      <c r="C72" s="104"/>
      <c r="D72" s="103"/>
      <c r="E72" s="103"/>
      <c r="F72" s="103"/>
      <c r="G72" s="103"/>
      <c r="H72" s="103"/>
      <c r="I72" s="104"/>
      <c r="J72" s="103"/>
      <c r="M72" s="160"/>
    </row>
    <row r="73" spans="1:14" s="102" customFormat="1" x14ac:dyDescent="0.25">
      <c r="A73" s="100"/>
      <c r="B73" s="5"/>
      <c r="C73" s="101"/>
      <c r="D73" s="100"/>
      <c r="E73" s="100"/>
      <c r="F73" s="103"/>
      <c r="G73" s="100"/>
      <c r="H73" s="100"/>
      <c r="I73" s="100"/>
      <c r="J73" s="100"/>
      <c r="M73" s="160"/>
    </row>
    <row r="74" spans="1:14" ht="26.25" customHeight="1" x14ac:dyDescent="0.25">
      <c r="A74" s="28"/>
      <c r="B74" s="97"/>
      <c r="C74" s="28"/>
      <c r="D74" s="28"/>
      <c r="E74" s="28"/>
      <c r="F74" s="28"/>
      <c r="G74" s="28"/>
      <c r="H74" s="28"/>
      <c r="I74" s="28"/>
      <c r="J74" s="28"/>
    </row>
    <row r="75" spans="1:14" x14ac:dyDescent="0.25">
      <c r="A75" s="28"/>
      <c r="B75" s="97"/>
      <c r="C75" s="28"/>
      <c r="D75" s="28"/>
      <c r="E75" s="28"/>
      <c r="F75" s="28"/>
      <c r="G75" s="28"/>
      <c r="H75" s="28"/>
      <c r="I75" s="28"/>
      <c r="J75" s="28"/>
    </row>
    <row r="76" spans="1:14" ht="26.25" customHeight="1" x14ac:dyDescent="0.25">
      <c r="A76" s="28"/>
      <c r="B76" s="97"/>
      <c r="C76" s="28"/>
      <c r="D76" s="28"/>
      <c r="E76" s="28"/>
      <c r="F76" s="28"/>
      <c r="G76" s="28"/>
      <c r="H76" s="28"/>
      <c r="I76" s="28"/>
      <c r="J76" s="28"/>
    </row>
    <row r="78" spans="1:14" s="68" customFormat="1" ht="33.75" customHeight="1" x14ac:dyDescent="0.25">
      <c r="M78" s="161"/>
    </row>
    <row r="79" spans="1:14" ht="26.25" customHeight="1" x14ac:dyDescent="0.25"/>
    <row r="86" ht="21.75" customHeight="1" x14ac:dyDescent="0.25"/>
    <row r="100" spans="13:13" s="68" customFormat="1" x14ac:dyDescent="0.25">
      <c r="M100" s="161"/>
    </row>
    <row r="160" ht="22.5" customHeight="1" x14ac:dyDescent="0.25"/>
    <row r="163" ht="23.25" customHeight="1" x14ac:dyDescent="0.25"/>
  </sheetData>
  <autoFilter ref="A5:N68" xr:uid="{00000000-0009-0000-0000-000001000000}"/>
  <mergeCells count="22">
    <mergeCell ref="L5:L6"/>
    <mergeCell ref="G5:G6"/>
    <mergeCell ref="H5:H6"/>
    <mergeCell ref="I5:I6"/>
    <mergeCell ref="J5:J6"/>
    <mergeCell ref="K5:K6"/>
    <mergeCell ref="M5:M6"/>
    <mergeCell ref="A1:B2"/>
    <mergeCell ref="C1:N1"/>
    <mergeCell ref="C2:N2"/>
    <mergeCell ref="A3:B3"/>
    <mergeCell ref="C3:N3"/>
    <mergeCell ref="N5:N6"/>
    <mergeCell ref="A4:C4"/>
    <mergeCell ref="D4:K4"/>
    <mergeCell ref="L4:N4"/>
    <mergeCell ref="A5:A6"/>
    <mergeCell ref="B5:B6"/>
    <mergeCell ref="C5:C6"/>
    <mergeCell ref="D5:D6"/>
    <mergeCell ref="E5:E6"/>
    <mergeCell ref="F5:F6"/>
  </mergeCells>
  <dataValidations count="9">
    <dataValidation type="list" allowBlank="1" showErrorMessage="1" sqref="A3" xr:uid="{00000000-0002-0000-0100-000000000000}">
      <formula1>"#ref!"</formula1>
      <formula2>0</formula2>
    </dataValidation>
    <dataValidation type="list" allowBlank="1" showInputMessage="1" showErrorMessage="1" sqref="A7:A1076" xr:uid="{00000000-0002-0000-0100-000001000000}">
      <formula1>$S$8:$S$10</formula1>
      <formula2>0</formula2>
    </dataValidation>
    <dataValidation type="list" allowBlank="1" showInputMessage="1" showErrorMessage="1" sqref="G7" xr:uid="{00000000-0002-0000-0100-000002000000}">
      <formula1>$Y$8:$Y$33</formula1>
      <formula2>0</formula2>
    </dataValidation>
    <dataValidation type="list" allowBlank="1" showInputMessage="1" showErrorMessage="1" sqref="E7:E34 E36:E1076" xr:uid="{00000000-0002-0000-0100-000003000000}">
      <formula1>$W$8:$W$14</formula1>
      <formula2>0</formula2>
    </dataValidation>
    <dataValidation type="list" allowBlank="1" showInputMessage="1" showErrorMessage="1" sqref="D7" xr:uid="{00000000-0002-0000-0100-000004000000}">
      <formula1>$U$8:$U$22</formula1>
      <formula2>0</formula2>
    </dataValidation>
    <dataValidation type="list" allowBlank="1" showInputMessage="1" showErrorMessage="1" sqref="J7" xr:uid="{00000000-0002-0000-0100-000005000000}">
      <formula1>$Q$9:$Q$22</formula1>
      <formula2>0</formula2>
    </dataValidation>
    <dataValidation type="list" allowBlank="1" showInputMessage="1" showErrorMessage="1" sqref="J8:J11 J13:J34 J36:J1076" xr:uid="{00000000-0002-0000-0100-000006000000}">
      <formula1>$Q$9:$Q$23</formula1>
      <formula2>0</formula2>
    </dataValidation>
    <dataValidation type="list" allowBlank="1" showInputMessage="1" showErrorMessage="1" sqref="D8:D34 D36:D1076" xr:uid="{00000000-0002-0000-0100-000007000000}">
      <formula1>$U$8:$U$23</formula1>
      <formula2>0</formula2>
    </dataValidation>
    <dataValidation type="list" allowBlank="1" showInputMessage="1" showErrorMessage="1" sqref="H13 G36:G1076 G8:G34" xr:uid="{00000000-0002-0000-0100-000008000000}">
      <formula1>$Y$8:$Y$34</formula1>
      <formula2>0</formula2>
    </dataValidation>
  </dataValidations>
  <pageMargins left="0.25" right="0.25" top="0.75" bottom="0.75" header="0.511811023622047" footer="0.511811023622047"/>
  <pageSetup paperSize="9" fitToHeight="0" orientation="landscape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Y164"/>
  <sheetViews>
    <sheetView zoomScale="80" zoomScaleNormal="80" workbookViewId="0">
      <pane xSplit="2" ySplit="6" topLeftCell="C22" activePane="bottomRight" state="frozen"/>
      <selection pane="topRight" activeCell="C1" sqref="C1"/>
      <selection pane="bottomLeft" activeCell="A7" sqref="A7"/>
      <selection pane="bottomRight" activeCell="M7" sqref="M1:M1048576"/>
    </sheetView>
  </sheetViews>
  <sheetFormatPr baseColWidth="10" defaultColWidth="11" defaultRowHeight="13.2" x14ac:dyDescent="0.25"/>
  <cols>
    <col min="1" max="1" width="4.88671875" customWidth="1"/>
    <col min="2" max="2" width="8.44140625" customWidth="1"/>
    <col min="3" max="3" width="12.109375" customWidth="1"/>
    <col min="4" max="4" width="16.33203125" customWidth="1"/>
    <col min="5" max="5" width="16.44140625" customWidth="1"/>
    <col min="6" max="6" width="48.33203125" customWidth="1"/>
    <col min="7" max="7" width="19.6640625" customWidth="1"/>
    <col min="8" max="8" width="28.6640625" customWidth="1"/>
    <col min="9" max="9" width="12.109375" customWidth="1"/>
    <col min="10" max="10" width="14.109375" customWidth="1"/>
    <col min="11" max="11" width="35.44140625" customWidth="1"/>
    <col min="12" max="12" width="16" customWidth="1"/>
    <col min="13" max="13" width="16" style="153" customWidth="1"/>
    <col min="17" max="17" width="11.88671875" customWidth="1"/>
    <col min="19" max="19" width="10.44140625" customWidth="1"/>
    <col min="21" max="21" width="17.33203125" customWidth="1"/>
    <col min="23" max="23" width="17.33203125" customWidth="1"/>
  </cols>
  <sheetData>
    <row r="1" spans="1:25" s="1" customFormat="1" ht="24" customHeight="1" x14ac:dyDescent="0.3">
      <c r="A1" s="168"/>
      <c r="B1" s="168"/>
      <c r="C1" s="169" t="s">
        <v>0</v>
      </c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</row>
    <row r="2" spans="1:25" s="2" customFormat="1" ht="54.75" customHeight="1" x14ac:dyDescent="0.3">
      <c r="A2" s="168"/>
      <c r="B2" s="168"/>
      <c r="C2" s="170" t="s">
        <v>1</v>
      </c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</row>
    <row r="3" spans="1:25" s="2" customFormat="1" ht="21.75" customHeight="1" x14ac:dyDescent="0.3">
      <c r="A3" s="171" t="s">
        <v>2</v>
      </c>
      <c r="B3" s="171"/>
      <c r="C3" s="172" t="s">
        <v>3</v>
      </c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</row>
    <row r="4" spans="1:25" s="3" customFormat="1" ht="27.75" customHeight="1" x14ac:dyDescent="0.3">
      <c r="A4" s="173" t="s">
        <v>4</v>
      </c>
      <c r="B4" s="173"/>
      <c r="C4" s="173"/>
      <c r="D4" s="174"/>
      <c r="E4" s="174"/>
      <c r="F4" s="174"/>
      <c r="G4" s="174"/>
      <c r="H4" s="174"/>
      <c r="I4" s="174"/>
      <c r="J4" s="174"/>
      <c r="K4" s="174"/>
      <c r="L4" s="175" t="s">
        <v>5</v>
      </c>
      <c r="M4" s="175"/>
      <c r="N4" s="175"/>
    </row>
    <row r="5" spans="1:25" ht="91.5" customHeight="1" x14ac:dyDescent="0.25">
      <c r="A5" s="176" t="s">
        <v>6</v>
      </c>
      <c r="B5" s="177" t="s">
        <v>7</v>
      </c>
      <c r="C5" s="178" t="s">
        <v>8</v>
      </c>
      <c r="D5" s="167" t="s">
        <v>9</v>
      </c>
      <c r="E5" s="167" t="s">
        <v>10</v>
      </c>
      <c r="F5" s="167" t="s">
        <v>11</v>
      </c>
      <c r="G5" s="176" t="s">
        <v>12</v>
      </c>
      <c r="H5" s="176" t="s">
        <v>13</v>
      </c>
      <c r="I5" s="178" t="s">
        <v>14</v>
      </c>
      <c r="J5" s="182" t="s">
        <v>15</v>
      </c>
      <c r="K5" s="183" t="s">
        <v>16</v>
      </c>
      <c r="L5" s="181" t="s">
        <v>17</v>
      </c>
      <c r="M5" s="184" t="s">
        <v>18</v>
      </c>
      <c r="N5" s="180" t="s">
        <v>19</v>
      </c>
    </row>
    <row r="6" spans="1:25" x14ac:dyDescent="0.25">
      <c r="A6" s="176"/>
      <c r="B6" s="177"/>
      <c r="C6" s="178"/>
      <c r="D6" s="167"/>
      <c r="E6" s="167"/>
      <c r="F6" s="167"/>
      <c r="G6" s="176"/>
      <c r="H6" s="176"/>
      <c r="I6" s="178"/>
      <c r="J6" s="182"/>
      <c r="K6" s="183"/>
      <c r="L6" s="181"/>
      <c r="M6" s="184"/>
      <c r="N6" s="180"/>
    </row>
    <row r="7" spans="1:25" ht="52.8" x14ac:dyDescent="0.25">
      <c r="A7" s="72" t="s">
        <v>29</v>
      </c>
      <c r="B7" s="80" t="s">
        <v>151</v>
      </c>
      <c r="C7" s="73">
        <v>44951</v>
      </c>
      <c r="D7" s="74" t="s">
        <v>56</v>
      </c>
      <c r="E7" s="74" t="s">
        <v>36</v>
      </c>
      <c r="F7" s="75" t="s">
        <v>152</v>
      </c>
      <c r="G7" s="76" t="s">
        <v>135</v>
      </c>
      <c r="H7" s="77" t="s">
        <v>153</v>
      </c>
      <c r="I7" s="78"/>
      <c r="J7" s="79" t="s">
        <v>41</v>
      </c>
      <c r="K7" s="8"/>
      <c r="L7" s="9"/>
      <c r="M7" s="154"/>
      <c r="N7" s="10"/>
      <c r="Q7" s="11" t="s">
        <v>28</v>
      </c>
      <c r="R7" s="12"/>
      <c r="S7" s="13" t="s">
        <v>6</v>
      </c>
      <c r="T7" s="12"/>
      <c r="U7" s="14" t="s">
        <v>9</v>
      </c>
      <c r="V7" s="12"/>
      <c r="W7" s="12" t="s">
        <v>10</v>
      </c>
      <c r="Y7" s="12" t="s">
        <v>12</v>
      </c>
    </row>
    <row r="8" spans="1:25" ht="23.4" x14ac:dyDescent="0.25">
      <c r="A8" s="72" t="s">
        <v>29</v>
      </c>
      <c r="B8" s="80" t="s">
        <v>154</v>
      </c>
      <c r="C8" s="73">
        <v>44974</v>
      </c>
      <c r="D8" s="74" t="s">
        <v>56</v>
      </c>
      <c r="E8" s="74" t="s">
        <v>47</v>
      </c>
      <c r="F8" s="75" t="s">
        <v>155</v>
      </c>
      <c r="G8" s="76" t="s">
        <v>49</v>
      </c>
      <c r="H8" s="77" t="s">
        <v>156</v>
      </c>
      <c r="I8" s="78">
        <v>44974</v>
      </c>
      <c r="J8" s="79" t="s">
        <v>67</v>
      </c>
      <c r="K8" s="8"/>
      <c r="L8" s="9"/>
      <c r="M8" s="154"/>
      <c r="N8" s="10"/>
      <c r="S8" s="27" t="s">
        <v>29</v>
      </c>
      <c r="U8" s="28" t="s">
        <v>35</v>
      </c>
      <c r="W8" t="s">
        <v>36</v>
      </c>
      <c r="Y8" s="29" t="s">
        <v>37</v>
      </c>
    </row>
    <row r="9" spans="1:25" x14ac:dyDescent="0.25">
      <c r="A9" s="72" t="s">
        <v>29</v>
      </c>
      <c r="B9" s="80" t="s">
        <v>157</v>
      </c>
      <c r="C9" s="73">
        <v>44951</v>
      </c>
      <c r="D9" s="74" t="s">
        <v>56</v>
      </c>
      <c r="E9" s="74" t="s">
        <v>47</v>
      </c>
      <c r="F9" s="75" t="s">
        <v>158</v>
      </c>
      <c r="G9" s="76" t="s">
        <v>58</v>
      </c>
      <c r="H9" s="77" t="s">
        <v>159</v>
      </c>
      <c r="I9" s="78">
        <v>44979</v>
      </c>
      <c r="J9" s="79" t="s">
        <v>75</v>
      </c>
      <c r="K9" s="8" t="s">
        <v>160</v>
      </c>
      <c r="L9" s="9">
        <v>95</v>
      </c>
      <c r="M9" s="154">
        <v>2347742.79</v>
      </c>
      <c r="N9" s="10"/>
      <c r="Q9" s="38" t="s">
        <v>41</v>
      </c>
      <c r="S9" s="27" t="s">
        <v>42</v>
      </c>
      <c r="U9" s="28" t="s">
        <v>43</v>
      </c>
      <c r="W9" t="s">
        <v>44</v>
      </c>
      <c r="Y9" s="29" t="s">
        <v>45</v>
      </c>
    </row>
    <row r="10" spans="1:25" ht="24.75" customHeight="1" x14ac:dyDescent="0.25">
      <c r="A10" s="72" t="s">
        <v>29</v>
      </c>
      <c r="B10" s="80" t="s">
        <v>161</v>
      </c>
      <c r="C10" s="73"/>
      <c r="D10" s="74" t="s">
        <v>56</v>
      </c>
      <c r="E10" s="74" t="s">
        <v>47</v>
      </c>
      <c r="F10" s="75" t="s">
        <v>162</v>
      </c>
      <c r="G10" s="76"/>
      <c r="H10" s="77"/>
      <c r="I10" s="78"/>
      <c r="J10" s="79" t="s">
        <v>51</v>
      </c>
      <c r="K10" s="8"/>
      <c r="L10" s="9"/>
      <c r="M10" s="154"/>
      <c r="N10" s="10"/>
      <c r="Q10" s="38" t="s">
        <v>52</v>
      </c>
      <c r="S10" s="39" t="s">
        <v>20</v>
      </c>
      <c r="U10" s="28" t="s">
        <v>53</v>
      </c>
      <c r="W10" t="s">
        <v>47</v>
      </c>
      <c r="Y10" s="29" t="s">
        <v>54</v>
      </c>
    </row>
    <row r="11" spans="1:25" x14ac:dyDescent="0.25">
      <c r="A11" s="72" t="s">
        <v>29</v>
      </c>
      <c r="B11" s="80" t="s">
        <v>161</v>
      </c>
      <c r="C11" s="73">
        <v>44986</v>
      </c>
      <c r="D11" s="74" t="s">
        <v>56</v>
      </c>
      <c r="E11" s="74" t="s">
        <v>47</v>
      </c>
      <c r="F11" s="75" t="s">
        <v>163</v>
      </c>
      <c r="G11" s="76" t="s">
        <v>49</v>
      </c>
      <c r="H11" s="77" t="s">
        <v>156</v>
      </c>
      <c r="I11" s="78"/>
      <c r="J11" s="79" t="s">
        <v>75</v>
      </c>
      <c r="K11" s="8"/>
      <c r="L11" s="9"/>
      <c r="M11" s="154"/>
      <c r="N11" s="10"/>
      <c r="Q11" s="47" t="s">
        <v>27</v>
      </c>
      <c r="U11" s="28" t="s">
        <v>22</v>
      </c>
      <c r="W11" t="s">
        <v>23</v>
      </c>
      <c r="Y11" s="29" t="s">
        <v>59</v>
      </c>
    </row>
    <row r="12" spans="1:25" x14ac:dyDescent="0.25">
      <c r="A12" s="72" t="s">
        <v>29</v>
      </c>
      <c r="B12" s="80" t="s">
        <v>164</v>
      </c>
      <c r="D12" s="74"/>
      <c r="K12" s="8"/>
      <c r="L12" s="9"/>
      <c r="M12" s="154"/>
      <c r="N12" s="10"/>
      <c r="Q12" s="53" t="s">
        <v>64</v>
      </c>
      <c r="U12" s="28"/>
      <c r="Y12" s="29"/>
    </row>
    <row r="13" spans="1:25" x14ac:dyDescent="0.25">
      <c r="A13" s="72" t="s">
        <v>29</v>
      </c>
      <c r="B13" s="80" t="s">
        <v>165</v>
      </c>
      <c r="C13" s="73">
        <v>44994</v>
      </c>
      <c r="D13" s="74" t="s">
        <v>56</v>
      </c>
      <c r="E13" s="74" t="s">
        <v>44</v>
      </c>
      <c r="F13" s="75" t="s">
        <v>166</v>
      </c>
      <c r="G13" s="76" t="s">
        <v>49</v>
      </c>
      <c r="H13" s="77" t="s">
        <v>167</v>
      </c>
      <c r="I13" s="78">
        <v>44994</v>
      </c>
      <c r="J13" s="79" t="s">
        <v>67</v>
      </c>
      <c r="K13" s="8">
        <v>46083.59</v>
      </c>
      <c r="L13" s="9">
        <v>176</v>
      </c>
      <c r="M13" s="154">
        <f>+L13*K13</f>
        <v>8110711.8399999999</v>
      </c>
      <c r="N13" s="10"/>
      <c r="Q13" s="53" t="s">
        <v>67</v>
      </c>
      <c r="U13" s="28" t="s">
        <v>68</v>
      </c>
      <c r="W13" t="s">
        <v>69</v>
      </c>
      <c r="Y13" s="29" t="s">
        <v>70</v>
      </c>
    </row>
    <row r="14" spans="1:25" x14ac:dyDescent="0.25">
      <c r="A14" s="72" t="s">
        <v>29</v>
      </c>
      <c r="B14" s="80" t="s">
        <v>168</v>
      </c>
      <c r="C14" s="73">
        <v>44994</v>
      </c>
      <c r="D14" s="74" t="s">
        <v>56</v>
      </c>
      <c r="E14" s="74" t="s">
        <v>36</v>
      </c>
      <c r="F14" s="75" t="s">
        <v>169</v>
      </c>
      <c r="G14" s="76" t="s">
        <v>116</v>
      </c>
      <c r="H14" s="77" t="s">
        <v>167</v>
      </c>
      <c r="I14" s="78">
        <v>44994</v>
      </c>
      <c r="J14" s="79" t="s">
        <v>41</v>
      </c>
      <c r="K14" s="8"/>
      <c r="L14" s="9"/>
      <c r="M14" s="154"/>
      <c r="N14" s="10"/>
      <c r="Q14" s="47" t="s">
        <v>75</v>
      </c>
      <c r="U14" s="28" t="s">
        <v>76</v>
      </c>
      <c r="W14" t="s">
        <v>77</v>
      </c>
      <c r="Y14" s="29" t="s">
        <v>78</v>
      </c>
    </row>
    <row r="15" spans="1:25" x14ac:dyDescent="0.25">
      <c r="A15" s="72" t="s">
        <v>42</v>
      </c>
      <c r="B15" s="80" t="s">
        <v>170</v>
      </c>
      <c r="C15" s="73">
        <v>44999</v>
      </c>
      <c r="D15" s="74" t="s">
        <v>56</v>
      </c>
      <c r="E15" s="74" t="s">
        <v>36</v>
      </c>
      <c r="F15" s="75" t="s">
        <v>171</v>
      </c>
      <c r="G15" s="76" t="s">
        <v>49</v>
      </c>
      <c r="H15" s="77" t="s">
        <v>167</v>
      </c>
      <c r="I15" s="78">
        <v>45000</v>
      </c>
      <c r="J15" s="79" t="s">
        <v>75</v>
      </c>
      <c r="K15" s="8"/>
      <c r="L15" s="9"/>
      <c r="M15" s="154"/>
      <c r="N15" s="10"/>
      <c r="Q15" s="64" t="s">
        <v>51</v>
      </c>
      <c r="U15" s="28" t="s">
        <v>84</v>
      </c>
      <c r="Y15" s="29" t="s">
        <v>58</v>
      </c>
    </row>
    <row r="16" spans="1:25" ht="23.4" x14ac:dyDescent="0.25">
      <c r="A16" s="72" t="s">
        <v>29</v>
      </c>
      <c r="B16" s="80" t="s">
        <v>172</v>
      </c>
      <c r="C16" s="73">
        <v>45005</v>
      </c>
      <c r="D16" s="74" t="s">
        <v>31</v>
      </c>
      <c r="E16" s="74" t="s">
        <v>36</v>
      </c>
      <c r="F16" s="75" t="s">
        <v>173</v>
      </c>
      <c r="G16" s="76" t="s">
        <v>100</v>
      </c>
      <c r="H16" s="77" t="s">
        <v>167</v>
      </c>
      <c r="I16" s="78">
        <v>45005</v>
      </c>
      <c r="J16" s="79" t="s">
        <v>51</v>
      </c>
      <c r="K16" s="8"/>
      <c r="L16" s="9"/>
      <c r="M16" s="154"/>
      <c r="N16" s="10"/>
      <c r="Q16" s="47" t="s">
        <v>34</v>
      </c>
      <c r="U16" s="28" t="s">
        <v>61</v>
      </c>
      <c r="Y16" s="29" t="s">
        <v>88</v>
      </c>
    </row>
    <row r="17" spans="1:25" x14ac:dyDescent="0.25">
      <c r="A17" s="72" t="s">
        <v>42</v>
      </c>
      <c r="B17" s="80" t="s">
        <v>174</v>
      </c>
      <c r="C17" s="73">
        <v>45007</v>
      </c>
      <c r="D17" s="74" t="s">
        <v>56</v>
      </c>
      <c r="E17" s="74" t="s">
        <v>36</v>
      </c>
      <c r="F17" s="75" t="s">
        <v>171</v>
      </c>
      <c r="G17" s="76" t="s">
        <v>49</v>
      </c>
      <c r="H17" s="77" t="s">
        <v>167</v>
      </c>
      <c r="I17" s="78">
        <v>45008</v>
      </c>
      <c r="J17" s="79" t="s">
        <v>75</v>
      </c>
      <c r="K17" s="8"/>
      <c r="L17" s="9"/>
      <c r="M17" s="154"/>
      <c r="N17" s="10"/>
      <c r="Q17" s="53"/>
      <c r="U17" s="28" t="s">
        <v>92</v>
      </c>
      <c r="Y17" s="29" t="s">
        <v>93</v>
      </c>
    </row>
    <row r="18" spans="1:25" x14ac:dyDescent="0.25">
      <c r="A18" s="72" t="s">
        <v>29</v>
      </c>
      <c r="B18" s="80" t="s">
        <v>175</v>
      </c>
      <c r="C18" s="73">
        <v>45008</v>
      </c>
      <c r="D18" s="74" t="s">
        <v>43</v>
      </c>
      <c r="E18" s="74" t="s">
        <v>44</v>
      </c>
      <c r="F18" s="75" t="s">
        <v>176</v>
      </c>
      <c r="G18" s="76" t="s">
        <v>25</v>
      </c>
      <c r="H18" s="77" t="s">
        <v>167</v>
      </c>
      <c r="I18" s="78"/>
      <c r="J18" s="79"/>
      <c r="K18" s="8">
        <f>+M18/L18</f>
        <v>13285.75168792198</v>
      </c>
      <c r="L18" s="9">
        <f>721+612</f>
        <v>1333</v>
      </c>
      <c r="M18" s="154">
        <f>9883044+7826863</f>
        <v>17709907</v>
      </c>
      <c r="N18" s="10"/>
      <c r="O18" s="70"/>
      <c r="Q18" s="53"/>
      <c r="U18" s="28" t="s">
        <v>56</v>
      </c>
      <c r="Y18" s="29" t="s">
        <v>97</v>
      </c>
    </row>
    <row r="19" spans="1:25" x14ac:dyDescent="0.25">
      <c r="A19" s="72" t="s">
        <v>29</v>
      </c>
      <c r="B19" s="80" t="s">
        <v>177</v>
      </c>
      <c r="C19" s="73">
        <v>45012</v>
      </c>
      <c r="D19" s="74" t="s">
        <v>22</v>
      </c>
      <c r="E19" s="74" t="s">
        <v>23</v>
      </c>
      <c r="F19" s="75" t="s">
        <v>178</v>
      </c>
      <c r="G19" s="76" t="s">
        <v>88</v>
      </c>
      <c r="H19" s="77" t="s">
        <v>179</v>
      </c>
      <c r="I19" s="78">
        <v>45013</v>
      </c>
      <c r="J19" s="79" t="s">
        <v>75</v>
      </c>
      <c r="K19" s="8"/>
      <c r="L19" s="9"/>
      <c r="M19" s="154"/>
      <c r="N19" s="10"/>
      <c r="Q19" s="38"/>
      <c r="U19" s="28" t="s">
        <v>31</v>
      </c>
      <c r="Y19" s="29" t="s">
        <v>100</v>
      </c>
    </row>
    <row r="20" spans="1:25" ht="23.4" x14ac:dyDescent="0.25">
      <c r="A20" s="72" t="s">
        <v>29</v>
      </c>
      <c r="B20" s="80" t="s">
        <v>180</v>
      </c>
      <c r="C20" s="73">
        <v>45013</v>
      </c>
      <c r="D20" s="74" t="s">
        <v>56</v>
      </c>
      <c r="E20" s="74" t="s">
        <v>47</v>
      </c>
      <c r="F20" s="75" t="s">
        <v>181</v>
      </c>
      <c r="G20" s="76" t="s">
        <v>116</v>
      </c>
      <c r="H20" s="77" t="s">
        <v>182</v>
      </c>
      <c r="I20" s="78"/>
      <c r="J20" s="79" t="s">
        <v>41</v>
      </c>
      <c r="K20" s="8"/>
      <c r="L20" s="9"/>
      <c r="M20" s="154"/>
      <c r="N20" s="10"/>
      <c r="U20" s="28" t="s">
        <v>104</v>
      </c>
      <c r="Y20" s="29" t="s">
        <v>105</v>
      </c>
    </row>
    <row r="21" spans="1:25" ht="28.5" customHeight="1" x14ac:dyDescent="0.25">
      <c r="A21" s="72" t="s">
        <v>29</v>
      </c>
      <c r="B21" s="80" t="s">
        <v>183</v>
      </c>
      <c r="C21" s="73">
        <v>45029</v>
      </c>
      <c r="D21" s="74" t="s">
        <v>56</v>
      </c>
      <c r="E21" s="74" t="s">
        <v>23</v>
      </c>
      <c r="F21" s="75" t="s">
        <v>184</v>
      </c>
      <c r="G21" s="76" t="s">
        <v>58</v>
      </c>
      <c r="H21" s="77" t="s">
        <v>185</v>
      </c>
      <c r="I21" s="78">
        <v>45029</v>
      </c>
      <c r="J21" s="79" t="s">
        <v>75</v>
      </c>
      <c r="K21" s="8"/>
      <c r="L21" s="9"/>
      <c r="M21" s="154"/>
      <c r="N21" s="10"/>
      <c r="U21" s="28" t="s">
        <v>108</v>
      </c>
      <c r="Y21" s="29" t="s">
        <v>49</v>
      </c>
    </row>
    <row r="22" spans="1:25" x14ac:dyDescent="0.25">
      <c r="A22" s="72" t="s">
        <v>29</v>
      </c>
      <c r="B22" s="80" t="s">
        <v>186</v>
      </c>
      <c r="C22" s="73">
        <v>45036</v>
      </c>
      <c r="D22" s="74" t="s">
        <v>31</v>
      </c>
      <c r="E22" s="74" t="s">
        <v>44</v>
      </c>
      <c r="F22" s="75"/>
      <c r="G22" s="76"/>
      <c r="H22" s="77"/>
      <c r="I22" s="78"/>
      <c r="J22" s="79"/>
      <c r="K22" s="8"/>
      <c r="L22" s="9"/>
      <c r="M22" s="154"/>
      <c r="N22" s="10"/>
      <c r="U22" s="28" t="s">
        <v>112</v>
      </c>
      <c r="Y22" s="29" t="s">
        <v>113</v>
      </c>
    </row>
    <row r="23" spans="1:25" ht="23.4" x14ac:dyDescent="0.25">
      <c r="A23" s="72" t="s">
        <v>29</v>
      </c>
      <c r="B23" s="80" t="s">
        <v>187</v>
      </c>
      <c r="C23" s="73">
        <v>45036</v>
      </c>
      <c r="D23" s="74" t="s">
        <v>56</v>
      </c>
      <c r="E23" s="74" t="s">
        <v>23</v>
      </c>
      <c r="F23" s="75" t="s">
        <v>188</v>
      </c>
      <c r="G23" s="76" t="s">
        <v>25</v>
      </c>
      <c r="H23" s="77" t="s">
        <v>167</v>
      </c>
      <c r="I23" s="78"/>
      <c r="J23" s="79" t="s">
        <v>75</v>
      </c>
      <c r="K23" s="8"/>
      <c r="L23" s="9"/>
      <c r="M23" s="154"/>
      <c r="N23" s="10"/>
      <c r="Q23" s="53"/>
      <c r="U23" s="28"/>
      <c r="Y23" s="29" t="s">
        <v>118</v>
      </c>
    </row>
    <row r="24" spans="1:25" ht="27.75" customHeight="1" x14ac:dyDescent="0.25">
      <c r="A24" s="72" t="s">
        <v>29</v>
      </c>
      <c r="B24" s="80" t="s">
        <v>189</v>
      </c>
      <c r="C24" s="73">
        <v>45049</v>
      </c>
      <c r="D24" s="74" t="s">
        <v>22</v>
      </c>
      <c r="E24" s="74" t="s">
        <v>23</v>
      </c>
      <c r="F24" s="75" t="s">
        <v>190</v>
      </c>
      <c r="G24" s="76" t="s">
        <v>37</v>
      </c>
      <c r="H24" s="77" t="s">
        <v>191</v>
      </c>
      <c r="I24" s="78">
        <v>45049</v>
      </c>
      <c r="J24" s="79" t="s">
        <v>75</v>
      </c>
      <c r="K24" s="8"/>
      <c r="L24" s="9"/>
      <c r="M24" s="154"/>
      <c r="N24" s="10"/>
      <c r="Q24" s="53"/>
      <c r="Y24" s="29" t="s">
        <v>122</v>
      </c>
    </row>
    <row r="25" spans="1:25" x14ac:dyDescent="0.25">
      <c r="A25" s="72" t="s">
        <v>29</v>
      </c>
      <c r="B25" s="80" t="s">
        <v>192</v>
      </c>
      <c r="C25" s="73">
        <v>45049</v>
      </c>
      <c r="D25" s="74" t="s">
        <v>22</v>
      </c>
      <c r="E25" s="74" t="s">
        <v>23</v>
      </c>
      <c r="F25" s="75" t="s">
        <v>193</v>
      </c>
      <c r="G25" s="76" t="s">
        <v>58</v>
      </c>
      <c r="H25" s="77" t="s">
        <v>194</v>
      </c>
      <c r="I25" s="78">
        <v>45049</v>
      </c>
      <c r="J25" s="79" t="s">
        <v>75</v>
      </c>
      <c r="K25" s="8"/>
      <c r="L25" s="9"/>
      <c r="M25" s="154"/>
      <c r="N25" s="10"/>
      <c r="Q25" s="53"/>
      <c r="Y25" s="29" t="s">
        <v>127</v>
      </c>
    </row>
    <row r="26" spans="1:25" ht="31.5" customHeight="1" x14ac:dyDescent="0.25">
      <c r="A26" s="72" t="s">
        <v>42</v>
      </c>
      <c r="B26" s="80" t="s">
        <v>195</v>
      </c>
      <c r="C26" s="73">
        <v>45051</v>
      </c>
      <c r="D26" s="74" t="s">
        <v>56</v>
      </c>
      <c r="E26" s="74" t="s">
        <v>69</v>
      </c>
      <c r="F26" s="75" t="s">
        <v>196</v>
      </c>
      <c r="G26" s="76" t="s">
        <v>49</v>
      </c>
      <c r="H26" s="77" t="s">
        <v>197</v>
      </c>
      <c r="I26" s="78">
        <v>45051</v>
      </c>
      <c r="J26" s="79" t="s">
        <v>27</v>
      </c>
      <c r="K26" s="8"/>
      <c r="L26" s="9"/>
      <c r="M26" s="154"/>
      <c r="N26" s="10"/>
      <c r="Q26" s="53"/>
      <c r="Y26" s="29" t="s">
        <v>131</v>
      </c>
    </row>
    <row r="27" spans="1:25" ht="28.5" customHeight="1" x14ac:dyDescent="0.25">
      <c r="A27" s="72" t="s">
        <v>29</v>
      </c>
      <c r="B27" s="80" t="s">
        <v>198</v>
      </c>
      <c r="C27" s="73">
        <v>45051</v>
      </c>
      <c r="D27" s="74" t="s">
        <v>43</v>
      </c>
      <c r="E27" s="74" t="s">
        <v>47</v>
      </c>
      <c r="F27" s="75" t="s">
        <v>199</v>
      </c>
      <c r="G27" s="76" t="s">
        <v>58</v>
      </c>
      <c r="H27" s="77" t="s">
        <v>167</v>
      </c>
      <c r="I27" s="78">
        <v>45054</v>
      </c>
      <c r="J27" s="79" t="s">
        <v>75</v>
      </c>
      <c r="K27" s="8"/>
      <c r="L27" s="9"/>
      <c r="M27" s="154"/>
      <c r="N27" s="10"/>
      <c r="Y27" s="29" t="s">
        <v>135</v>
      </c>
    </row>
    <row r="28" spans="1:25" x14ac:dyDescent="0.25">
      <c r="A28" s="72" t="s">
        <v>29</v>
      </c>
      <c r="B28" s="80" t="s">
        <v>200</v>
      </c>
      <c r="C28" s="73">
        <v>45056</v>
      </c>
      <c r="D28" s="74" t="s">
        <v>56</v>
      </c>
      <c r="E28" s="74" t="s">
        <v>23</v>
      </c>
      <c r="F28" s="75" t="s">
        <v>201</v>
      </c>
      <c r="G28" s="76" t="s">
        <v>49</v>
      </c>
      <c r="H28" s="77" t="s">
        <v>197</v>
      </c>
      <c r="I28" s="78">
        <v>45058</v>
      </c>
      <c r="J28" s="79" t="s">
        <v>27</v>
      </c>
      <c r="K28" s="8"/>
      <c r="L28" s="9"/>
      <c r="M28" s="154"/>
      <c r="N28" s="10"/>
      <c r="Y28" s="29" t="s">
        <v>116</v>
      </c>
    </row>
    <row r="29" spans="1:25" x14ac:dyDescent="0.25">
      <c r="A29" s="72" t="s">
        <v>29</v>
      </c>
      <c r="B29" s="80" t="s">
        <v>202</v>
      </c>
      <c r="C29" s="73">
        <v>45062</v>
      </c>
      <c r="D29" s="74" t="s">
        <v>56</v>
      </c>
      <c r="E29" s="74" t="s">
        <v>47</v>
      </c>
      <c r="F29" s="75" t="s">
        <v>203</v>
      </c>
      <c r="G29" s="76" t="s">
        <v>49</v>
      </c>
      <c r="H29" s="77" t="s">
        <v>204</v>
      </c>
      <c r="I29" s="78">
        <v>45062</v>
      </c>
      <c r="J29" s="79" t="s">
        <v>67</v>
      </c>
      <c r="K29" s="8"/>
      <c r="L29" s="9"/>
      <c r="M29" s="154"/>
      <c r="N29" s="10"/>
      <c r="Y29" s="29" t="s">
        <v>125</v>
      </c>
    </row>
    <row r="30" spans="1:25" ht="23.4" x14ac:dyDescent="0.25">
      <c r="A30" s="72" t="s">
        <v>29</v>
      </c>
      <c r="B30" s="80" t="s">
        <v>205</v>
      </c>
      <c r="C30" s="73">
        <v>45089</v>
      </c>
      <c r="D30" s="74" t="s">
        <v>56</v>
      </c>
      <c r="E30" s="74" t="s">
        <v>23</v>
      </c>
      <c r="F30" s="75" t="s">
        <v>206</v>
      </c>
      <c r="G30" s="76" t="s">
        <v>58</v>
      </c>
      <c r="H30" s="77" t="s">
        <v>207</v>
      </c>
      <c r="I30" s="78">
        <v>45089</v>
      </c>
      <c r="J30" s="79" t="s">
        <v>52</v>
      </c>
      <c r="K30" s="8"/>
      <c r="L30" s="9"/>
      <c r="M30" s="154"/>
      <c r="N30" s="10"/>
      <c r="Y30" s="29" t="s">
        <v>142</v>
      </c>
    </row>
    <row r="31" spans="1:25" ht="23.4" x14ac:dyDescent="0.25">
      <c r="A31" s="72" t="s">
        <v>29</v>
      </c>
      <c r="B31" s="80" t="s">
        <v>208</v>
      </c>
      <c r="C31" s="73">
        <v>45086</v>
      </c>
      <c r="D31" s="74" t="s">
        <v>56</v>
      </c>
      <c r="E31" s="74" t="s">
        <v>23</v>
      </c>
      <c r="F31" s="75" t="s">
        <v>209</v>
      </c>
      <c r="G31" s="76" t="s">
        <v>58</v>
      </c>
      <c r="H31" s="77" t="s">
        <v>210</v>
      </c>
      <c r="I31" s="78">
        <v>45090</v>
      </c>
      <c r="J31" s="79" t="s">
        <v>75</v>
      </c>
      <c r="K31" s="8"/>
      <c r="L31" s="9"/>
      <c r="M31" s="154"/>
      <c r="N31" s="10"/>
      <c r="Y31" s="29" t="s">
        <v>144</v>
      </c>
    </row>
    <row r="32" spans="1:25" ht="23.4" x14ac:dyDescent="0.25">
      <c r="A32" s="72" t="s">
        <v>29</v>
      </c>
      <c r="B32" s="80" t="s">
        <v>211</v>
      </c>
      <c r="C32" s="73">
        <v>45098</v>
      </c>
      <c r="D32" s="74" t="s">
        <v>56</v>
      </c>
      <c r="E32" s="74" t="s">
        <v>44</v>
      </c>
      <c r="F32" s="75" t="s">
        <v>212</v>
      </c>
      <c r="G32" s="76" t="s">
        <v>135</v>
      </c>
      <c r="H32" s="77" t="s">
        <v>213</v>
      </c>
      <c r="I32" s="78">
        <v>45105</v>
      </c>
      <c r="J32" s="79" t="s">
        <v>27</v>
      </c>
      <c r="K32" s="8">
        <f>+M32/L32</f>
        <v>40745.857142857145</v>
      </c>
      <c r="L32" s="9">
        <v>14</v>
      </c>
      <c r="M32" s="154">
        <v>570442</v>
      </c>
      <c r="N32" s="10"/>
      <c r="Y32" s="29" t="s">
        <v>146</v>
      </c>
    </row>
    <row r="33" spans="1:25" ht="31.5" customHeight="1" x14ac:dyDescent="0.25">
      <c r="A33" s="72" t="s">
        <v>29</v>
      </c>
      <c r="B33" s="80" t="s">
        <v>214</v>
      </c>
      <c r="C33" s="73">
        <v>45104</v>
      </c>
      <c r="D33" s="74" t="s">
        <v>56</v>
      </c>
      <c r="E33" s="74"/>
      <c r="F33" s="75" t="s">
        <v>215</v>
      </c>
      <c r="G33" s="76" t="s">
        <v>58</v>
      </c>
      <c r="H33" s="77" t="s">
        <v>216</v>
      </c>
      <c r="I33" s="78">
        <v>45104</v>
      </c>
      <c r="J33" s="79" t="s">
        <v>52</v>
      </c>
      <c r="K33" s="8"/>
      <c r="L33" s="9"/>
      <c r="M33" s="154"/>
      <c r="N33" s="10"/>
      <c r="Y33" s="29" t="s">
        <v>25</v>
      </c>
    </row>
    <row r="34" spans="1:25" ht="30" customHeight="1" x14ac:dyDescent="0.25">
      <c r="A34" s="72" t="s">
        <v>29</v>
      </c>
      <c r="B34" s="80" t="s">
        <v>217</v>
      </c>
      <c r="C34" s="73">
        <v>45105</v>
      </c>
      <c r="D34" s="74" t="s">
        <v>56</v>
      </c>
      <c r="E34" s="74" t="s">
        <v>23</v>
      </c>
      <c r="F34" s="75" t="s">
        <v>218</v>
      </c>
      <c r="G34" s="76" t="s">
        <v>97</v>
      </c>
      <c r="H34" s="77" t="s">
        <v>219</v>
      </c>
      <c r="I34" s="78">
        <v>45106</v>
      </c>
      <c r="J34" s="79" t="s">
        <v>75</v>
      </c>
      <c r="K34" s="8"/>
      <c r="L34" s="9"/>
      <c r="M34" s="154"/>
      <c r="N34" s="10"/>
    </row>
    <row r="35" spans="1:25" ht="23.25" customHeight="1" x14ac:dyDescent="0.25">
      <c r="A35" s="72" t="s">
        <v>29</v>
      </c>
      <c r="B35" s="80" t="s">
        <v>220</v>
      </c>
      <c r="C35" s="73">
        <v>45078</v>
      </c>
      <c r="D35" s="74" t="s">
        <v>56</v>
      </c>
      <c r="E35" s="74" t="s">
        <v>44</v>
      </c>
      <c r="F35" s="75" t="s">
        <v>221</v>
      </c>
      <c r="G35" s="76" t="s">
        <v>58</v>
      </c>
      <c r="H35" s="77" t="s">
        <v>222</v>
      </c>
      <c r="I35" s="78">
        <v>45173</v>
      </c>
      <c r="J35" s="79" t="s">
        <v>75</v>
      </c>
      <c r="K35" s="8">
        <v>75149</v>
      </c>
      <c r="L35" s="9">
        <v>12</v>
      </c>
      <c r="M35" s="154">
        <f>+L35*K35</f>
        <v>901788</v>
      </c>
      <c r="N35" s="10"/>
    </row>
    <row r="36" spans="1:25" x14ac:dyDescent="0.25">
      <c r="A36" s="72" t="s">
        <v>29</v>
      </c>
      <c r="B36" s="80" t="s">
        <v>223</v>
      </c>
      <c r="C36" s="73">
        <v>45112</v>
      </c>
      <c r="D36" s="74" t="s">
        <v>56</v>
      </c>
      <c r="E36" s="74" t="s">
        <v>23</v>
      </c>
      <c r="F36" s="75" t="s">
        <v>224</v>
      </c>
      <c r="G36" s="76" t="s">
        <v>58</v>
      </c>
      <c r="H36" s="77" t="s">
        <v>225</v>
      </c>
      <c r="I36" s="78"/>
      <c r="J36" s="79" t="s">
        <v>52</v>
      </c>
      <c r="K36" s="8"/>
      <c r="L36" s="9"/>
      <c r="M36" s="154"/>
      <c r="N36" s="10"/>
    </row>
    <row r="37" spans="1:25" x14ac:dyDescent="0.25">
      <c r="A37" s="72" t="s">
        <v>29</v>
      </c>
      <c r="B37" s="80" t="s">
        <v>226</v>
      </c>
      <c r="C37" s="73">
        <v>45117</v>
      </c>
      <c r="D37" s="74" t="s">
        <v>56</v>
      </c>
      <c r="E37" s="74" t="s">
        <v>23</v>
      </c>
      <c r="F37" s="75" t="s">
        <v>227</v>
      </c>
      <c r="G37" s="76" t="s">
        <v>58</v>
      </c>
      <c r="H37" s="77" t="s">
        <v>167</v>
      </c>
      <c r="I37" s="78"/>
      <c r="J37" s="79" t="s">
        <v>75</v>
      </c>
      <c r="K37" s="8"/>
      <c r="L37" s="9"/>
      <c r="M37" s="154"/>
      <c r="N37" s="10"/>
    </row>
    <row r="38" spans="1:25" ht="23.4" x14ac:dyDescent="0.25">
      <c r="A38" s="72" t="s">
        <v>29</v>
      </c>
      <c r="B38" s="80" t="s">
        <v>228</v>
      </c>
      <c r="C38" s="73">
        <v>45118</v>
      </c>
      <c r="D38" s="74" t="s">
        <v>61</v>
      </c>
      <c r="E38" s="74" t="s">
        <v>23</v>
      </c>
      <c r="F38" s="75" t="s">
        <v>229</v>
      </c>
      <c r="G38" s="76" t="s">
        <v>37</v>
      </c>
      <c r="H38" s="77" t="s">
        <v>230</v>
      </c>
      <c r="I38" s="78"/>
      <c r="J38" s="79" t="s">
        <v>27</v>
      </c>
      <c r="K38" s="8"/>
      <c r="L38" s="9"/>
      <c r="M38" s="154"/>
      <c r="N38" s="10"/>
    </row>
    <row r="39" spans="1:25" x14ac:dyDescent="0.25">
      <c r="A39" s="72" t="s">
        <v>29</v>
      </c>
      <c r="B39" s="80" t="s">
        <v>231</v>
      </c>
      <c r="C39" s="73">
        <v>45119</v>
      </c>
      <c r="D39" s="74" t="s">
        <v>56</v>
      </c>
      <c r="E39" s="74" t="s">
        <v>44</v>
      </c>
      <c r="F39" s="75" t="s">
        <v>232</v>
      </c>
      <c r="G39" s="76" t="s">
        <v>25</v>
      </c>
      <c r="H39" s="77" t="s">
        <v>167</v>
      </c>
      <c r="I39" s="78">
        <v>45119</v>
      </c>
      <c r="J39" s="79" t="s">
        <v>75</v>
      </c>
      <c r="K39" s="8">
        <f>+M39/L39</f>
        <v>16.844512195121951</v>
      </c>
      <c r="L39" s="9">
        <v>164000</v>
      </c>
      <c r="M39" s="154">
        <f>5525000/2</f>
        <v>2762500</v>
      </c>
      <c r="N39" s="10"/>
    </row>
    <row r="40" spans="1:25" ht="26.25" customHeight="1" x14ac:dyDescent="0.25">
      <c r="A40" s="72" t="s">
        <v>29</v>
      </c>
      <c r="B40" s="80" t="s">
        <v>233</v>
      </c>
      <c r="C40" s="73">
        <v>45125</v>
      </c>
      <c r="D40" s="74" t="s">
        <v>56</v>
      </c>
      <c r="E40" s="74" t="s">
        <v>36</v>
      </c>
      <c r="F40" s="75" t="s">
        <v>234</v>
      </c>
      <c r="G40" s="76" t="s">
        <v>135</v>
      </c>
      <c r="H40" s="77" t="s">
        <v>153</v>
      </c>
      <c r="I40" s="78">
        <v>45127</v>
      </c>
      <c r="J40" s="79" t="s">
        <v>41</v>
      </c>
      <c r="K40" s="8"/>
      <c r="L40" s="9"/>
      <c r="M40" s="154"/>
      <c r="N40" s="10"/>
    </row>
    <row r="41" spans="1:25" ht="30.75" customHeight="1" x14ac:dyDescent="0.25">
      <c r="A41" s="72" t="s">
        <v>42</v>
      </c>
      <c r="B41" s="80" t="s">
        <v>235</v>
      </c>
      <c r="C41" s="73">
        <v>45132</v>
      </c>
      <c r="D41" s="74" t="s">
        <v>56</v>
      </c>
      <c r="E41" s="74" t="s">
        <v>69</v>
      </c>
      <c r="F41" s="75" t="s">
        <v>236</v>
      </c>
      <c r="G41" s="76" t="s">
        <v>49</v>
      </c>
      <c r="H41" s="77" t="s">
        <v>197</v>
      </c>
      <c r="I41" s="78">
        <v>45132</v>
      </c>
      <c r="J41" s="79" t="s">
        <v>27</v>
      </c>
      <c r="K41" s="8"/>
      <c r="L41" s="9"/>
      <c r="M41" s="154"/>
      <c r="N41" s="10"/>
    </row>
    <row r="42" spans="1:25" ht="26.25" customHeight="1" x14ac:dyDescent="0.25">
      <c r="A42" s="72" t="s">
        <v>29</v>
      </c>
      <c r="B42" s="80" t="s">
        <v>237</v>
      </c>
      <c r="C42" s="73">
        <v>45131</v>
      </c>
      <c r="D42" s="74" t="s">
        <v>56</v>
      </c>
      <c r="E42" s="74" t="s">
        <v>47</v>
      </c>
      <c r="F42" s="75" t="s">
        <v>238</v>
      </c>
      <c r="G42" s="76" t="s">
        <v>116</v>
      </c>
      <c r="H42" s="77" t="s">
        <v>111</v>
      </c>
      <c r="I42" s="78">
        <v>45133</v>
      </c>
      <c r="J42" s="79" t="s">
        <v>41</v>
      </c>
      <c r="K42" s="8"/>
      <c r="L42" s="9"/>
      <c r="M42" s="154"/>
      <c r="N42" s="10"/>
    </row>
    <row r="43" spans="1:25" ht="34.799999999999997" x14ac:dyDescent="0.25">
      <c r="A43" s="72" t="s">
        <v>29</v>
      </c>
      <c r="B43" s="80" t="s">
        <v>239</v>
      </c>
      <c r="C43" s="73">
        <v>45142</v>
      </c>
      <c r="D43" s="74" t="s">
        <v>56</v>
      </c>
      <c r="E43" s="74" t="s">
        <v>47</v>
      </c>
      <c r="F43" s="75" t="s">
        <v>240</v>
      </c>
      <c r="G43" s="76" t="s">
        <v>135</v>
      </c>
      <c r="H43" s="77" t="s">
        <v>153</v>
      </c>
      <c r="I43" s="78">
        <v>45142</v>
      </c>
      <c r="J43" s="79" t="s">
        <v>41</v>
      </c>
      <c r="K43" s="8"/>
      <c r="L43" s="9"/>
      <c r="M43" s="154"/>
      <c r="N43" s="10"/>
    </row>
    <row r="44" spans="1:25" ht="27" customHeight="1" x14ac:dyDescent="0.25">
      <c r="A44" s="72" t="s">
        <v>29</v>
      </c>
      <c r="B44" s="80" t="s">
        <v>241</v>
      </c>
      <c r="C44" s="73">
        <v>45145</v>
      </c>
      <c r="D44" s="74" t="s">
        <v>35</v>
      </c>
      <c r="E44" s="74" t="s">
        <v>44</v>
      </c>
      <c r="F44" s="75" t="s">
        <v>242</v>
      </c>
      <c r="G44" s="76" t="s">
        <v>116</v>
      </c>
      <c r="H44" s="77" t="s">
        <v>243</v>
      </c>
      <c r="I44" s="78">
        <v>45145</v>
      </c>
      <c r="J44" s="79" t="s">
        <v>34</v>
      </c>
      <c r="K44" s="8">
        <v>8000</v>
      </c>
      <c r="L44" s="9">
        <f>3+3+8</f>
        <v>14</v>
      </c>
      <c r="M44" s="154">
        <f>+L44*K44</f>
        <v>112000</v>
      </c>
      <c r="N44" s="10"/>
    </row>
    <row r="45" spans="1:25" ht="35.25" customHeight="1" x14ac:dyDescent="0.25">
      <c r="A45" s="72" t="s">
        <v>29</v>
      </c>
      <c r="B45" s="80" t="s">
        <v>244</v>
      </c>
      <c r="C45" s="73">
        <v>45162</v>
      </c>
      <c r="D45" s="74" t="s">
        <v>35</v>
      </c>
      <c r="E45" s="74" t="s">
        <v>47</v>
      </c>
      <c r="F45" s="75" t="s">
        <v>245</v>
      </c>
      <c r="G45" s="76" t="s">
        <v>37</v>
      </c>
      <c r="H45" s="77"/>
      <c r="I45" s="78">
        <v>45162</v>
      </c>
      <c r="J45" s="79" t="s">
        <v>34</v>
      </c>
      <c r="K45" s="8"/>
      <c r="L45" s="9"/>
      <c r="M45" s="154"/>
      <c r="N45" s="10"/>
    </row>
    <row r="46" spans="1:25" x14ac:dyDescent="0.25">
      <c r="A46" s="72" t="s">
        <v>29</v>
      </c>
      <c r="B46" s="80" t="s">
        <v>246</v>
      </c>
      <c r="C46" s="73">
        <v>45163</v>
      </c>
      <c r="D46" s="74" t="s">
        <v>61</v>
      </c>
      <c r="E46" s="74" t="s">
        <v>47</v>
      </c>
      <c r="F46" s="75" t="s">
        <v>247</v>
      </c>
      <c r="G46" s="76" t="s">
        <v>59</v>
      </c>
      <c r="H46" s="77" t="s">
        <v>248</v>
      </c>
      <c r="I46" s="78">
        <v>45163</v>
      </c>
      <c r="J46" s="79" t="s">
        <v>52</v>
      </c>
      <c r="K46" s="8"/>
      <c r="L46" s="9"/>
      <c r="M46" s="154"/>
      <c r="N46" s="10"/>
    </row>
    <row r="47" spans="1:25" x14ac:dyDescent="0.25">
      <c r="A47" s="72" t="s">
        <v>29</v>
      </c>
      <c r="B47" s="80" t="s">
        <v>249</v>
      </c>
      <c r="C47" s="73">
        <v>45169</v>
      </c>
      <c r="D47" s="74" t="s">
        <v>43</v>
      </c>
      <c r="E47" s="74" t="s">
        <v>44</v>
      </c>
      <c r="F47" s="75" t="s">
        <v>250</v>
      </c>
      <c r="G47" s="76" t="s">
        <v>25</v>
      </c>
      <c r="H47" s="77" t="s">
        <v>167</v>
      </c>
      <c r="I47" s="78">
        <v>45169</v>
      </c>
      <c r="J47" s="79" t="s">
        <v>34</v>
      </c>
      <c r="K47" s="8"/>
      <c r="L47" s="9"/>
      <c r="M47" s="154"/>
      <c r="N47" s="10"/>
    </row>
    <row r="48" spans="1:25" ht="23.4" x14ac:dyDescent="0.25">
      <c r="A48" s="72" t="s">
        <v>29</v>
      </c>
      <c r="B48" s="80" t="s">
        <v>251</v>
      </c>
      <c r="C48" s="73">
        <v>45173</v>
      </c>
      <c r="D48" s="74" t="s">
        <v>56</v>
      </c>
      <c r="E48" s="74" t="s">
        <v>36</v>
      </c>
      <c r="F48" s="75" t="s">
        <v>252</v>
      </c>
      <c r="G48" s="76" t="s">
        <v>88</v>
      </c>
      <c r="H48" s="77" t="s">
        <v>253</v>
      </c>
      <c r="I48" s="78">
        <v>45173</v>
      </c>
      <c r="J48" s="79" t="s">
        <v>41</v>
      </c>
      <c r="K48" s="8"/>
      <c r="L48" s="9"/>
      <c r="M48" s="154"/>
      <c r="N48" s="10"/>
    </row>
    <row r="49" spans="1:14" x14ac:dyDescent="0.25">
      <c r="A49" s="72" t="s">
        <v>29</v>
      </c>
      <c r="B49" s="80" t="s">
        <v>254</v>
      </c>
      <c r="C49" s="73">
        <v>45174</v>
      </c>
      <c r="D49" s="74" t="s">
        <v>43</v>
      </c>
      <c r="E49" s="74" t="s">
        <v>44</v>
      </c>
      <c r="F49" s="64" t="s">
        <v>255</v>
      </c>
      <c r="G49" s="76" t="s">
        <v>25</v>
      </c>
      <c r="H49" s="77"/>
      <c r="I49" s="78">
        <v>45174</v>
      </c>
      <c r="J49" s="79" t="s">
        <v>34</v>
      </c>
      <c r="K49" s="8"/>
      <c r="L49" s="9"/>
      <c r="M49" s="154"/>
      <c r="N49" s="10"/>
    </row>
    <row r="50" spans="1:14" ht="23.4" x14ac:dyDescent="0.25">
      <c r="A50" s="72" t="s">
        <v>20</v>
      </c>
      <c r="B50" s="80" t="s">
        <v>256</v>
      </c>
      <c r="C50" s="73"/>
      <c r="D50" s="74"/>
      <c r="E50" s="74" t="s">
        <v>36</v>
      </c>
      <c r="F50" s="75" t="s">
        <v>257</v>
      </c>
      <c r="G50" s="76" t="s">
        <v>116</v>
      </c>
      <c r="H50" s="77" t="s">
        <v>258</v>
      </c>
      <c r="I50" s="78">
        <v>45180</v>
      </c>
      <c r="J50" s="79" t="s">
        <v>41</v>
      </c>
      <c r="K50" s="8"/>
      <c r="L50" s="9"/>
      <c r="M50" s="154"/>
      <c r="N50" s="10"/>
    </row>
    <row r="51" spans="1:14" ht="33.75" customHeight="1" x14ac:dyDescent="0.25">
      <c r="A51" s="72" t="s">
        <v>29</v>
      </c>
      <c r="B51" s="80" t="s">
        <v>259</v>
      </c>
      <c r="C51" s="73">
        <v>45182</v>
      </c>
      <c r="D51" s="74" t="s">
        <v>35</v>
      </c>
      <c r="E51" s="74" t="s">
        <v>23</v>
      </c>
      <c r="F51" s="75" t="s">
        <v>260</v>
      </c>
      <c r="G51" s="76" t="s">
        <v>97</v>
      </c>
      <c r="H51" s="77" t="s">
        <v>261</v>
      </c>
      <c r="I51" s="78">
        <v>45182</v>
      </c>
      <c r="J51" s="79" t="s">
        <v>51</v>
      </c>
      <c r="K51" s="8"/>
      <c r="L51" s="9"/>
      <c r="M51" s="154"/>
      <c r="N51" s="10"/>
    </row>
    <row r="52" spans="1:14" x14ac:dyDescent="0.25">
      <c r="A52" s="72" t="s">
        <v>29</v>
      </c>
      <c r="B52" s="80" t="s">
        <v>262</v>
      </c>
      <c r="C52" s="73">
        <v>45183</v>
      </c>
      <c r="D52" s="74" t="s">
        <v>61</v>
      </c>
      <c r="E52" s="74" t="s">
        <v>47</v>
      </c>
      <c r="F52" s="75" t="s">
        <v>263</v>
      </c>
      <c r="G52" s="76" t="s">
        <v>144</v>
      </c>
      <c r="H52" s="77" t="s">
        <v>264</v>
      </c>
      <c r="I52" s="78">
        <v>45183</v>
      </c>
      <c r="J52" s="79" t="s">
        <v>51</v>
      </c>
      <c r="K52" s="8"/>
      <c r="L52" s="9"/>
      <c r="M52" s="154"/>
      <c r="N52" s="10"/>
    </row>
    <row r="53" spans="1:14" ht="23.4" x14ac:dyDescent="0.25">
      <c r="A53" s="81"/>
      <c r="B53" s="82" t="s">
        <v>265</v>
      </c>
      <c r="C53" s="83">
        <v>45187</v>
      </c>
      <c r="D53" s="84" t="s">
        <v>61</v>
      </c>
      <c r="E53" s="84" t="s">
        <v>36</v>
      </c>
      <c r="F53" s="85" t="s">
        <v>266</v>
      </c>
      <c r="G53" s="86" t="s">
        <v>58</v>
      </c>
      <c r="H53" s="87" t="s">
        <v>267</v>
      </c>
      <c r="I53" s="88">
        <v>45209</v>
      </c>
      <c r="J53" s="89" t="s">
        <v>51</v>
      </c>
      <c r="K53" s="90"/>
      <c r="L53" s="91"/>
      <c r="M53" s="156"/>
      <c r="N53" s="92"/>
    </row>
    <row r="54" spans="1:14" ht="23.4" x14ac:dyDescent="0.25">
      <c r="A54" s="72" t="s">
        <v>29</v>
      </c>
      <c r="B54" s="93" t="s">
        <v>268</v>
      </c>
      <c r="C54" s="94">
        <v>45187</v>
      </c>
      <c r="D54" s="95" t="s">
        <v>61</v>
      </c>
      <c r="E54" s="28" t="s">
        <v>23</v>
      </c>
      <c r="F54" s="75" t="s">
        <v>269</v>
      </c>
      <c r="G54" s="28" t="s">
        <v>58</v>
      </c>
      <c r="H54" s="77" t="s">
        <v>270</v>
      </c>
      <c r="I54" s="94">
        <v>45187</v>
      </c>
      <c r="J54" s="96" t="s">
        <v>34</v>
      </c>
      <c r="K54" s="28"/>
      <c r="L54" s="28"/>
      <c r="M54" s="151"/>
      <c r="N54" s="28"/>
    </row>
    <row r="55" spans="1:14" ht="26.4" x14ac:dyDescent="0.25">
      <c r="A55" s="72" t="s">
        <v>29</v>
      </c>
      <c r="B55" s="93" t="s">
        <v>271</v>
      </c>
      <c r="C55" s="94">
        <v>45194</v>
      </c>
      <c r="D55" s="28" t="s">
        <v>56</v>
      </c>
      <c r="E55" s="28" t="s">
        <v>23</v>
      </c>
      <c r="F55" s="33" t="s">
        <v>272</v>
      </c>
      <c r="G55" s="28" t="s">
        <v>144</v>
      </c>
      <c r="H55" s="77" t="s">
        <v>273</v>
      </c>
      <c r="I55" s="94">
        <v>45192</v>
      </c>
      <c r="J55" s="55" t="s">
        <v>51</v>
      </c>
      <c r="K55" s="28"/>
      <c r="L55" s="28"/>
      <c r="M55" s="151"/>
      <c r="N55" s="28"/>
    </row>
    <row r="56" spans="1:14" s="64" customFormat="1" ht="32.25" customHeight="1" x14ac:dyDescent="0.25">
      <c r="A56" s="50" t="s">
        <v>29</v>
      </c>
      <c r="B56" s="97" t="s">
        <v>274</v>
      </c>
      <c r="C56" s="51">
        <v>45195</v>
      </c>
      <c r="D56" s="32" t="s">
        <v>22</v>
      </c>
      <c r="E56" s="32" t="s">
        <v>23</v>
      </c>
      <c r="F56" s="98" t="s">
        <v>275</v>
      </c>
      <c r="G56" s="50" t="s">
        <v>58</v>
      </c>
      <c r="H56" s="50" t="s">
        <v>276</v>
      </c>
      <c r="I56" s="51">
        <v>45195</v>
      </c>
      <c r="J56" s="50" t="s">
        <v>51</v>
      </c>
      <c r="K56" s="50"/>
      <c r="L56" s="50"/>
      <c r="M56" s="157"/>
      <c r="N56" s="50"/>
    </row>
    <row r="57" spans="1:14" s="64" customFormat="1" ht="26.4" x14ac:dyDescent="0.25">
      <c r="A57" s="50" t="s">
        <v>29</v>
      </c>
      <c r="B57" s="97" t="s">
        <v>277</v>
      </c>
      <c r="C57" s="51">
        <v>45194</v>
      </c>
      <c r="D57" s="50" t="s">
        <v>61</v>
      </c>
      <c r="E57" s="50" t="s">
        <v>23</v>
      </c>
      <c r="F57" s="98" t="s">
        <v>278</v>
      </c>
      <c r="G57" s="50" t="s">
        <v>58</v>
      </c>
      <c r="H57" s="50" t="s">
        <v>279</v>
      </c>
      <c r="I57" s="51">
        <v>45179</v>
      </c>
      <c r="J57" s="50" t="s">
        <v>51</v>
      </c>
      <c r="K57" s="50"/>
      <c r="L57" s="50"/>
      <c r="M57" s="157"/>
      <c r="N57" s="50"/>
    </row>
    <row r="58" spans="1:14" s="64" customFormat="1" ht="52.8" x14ac:dyDescent="0.25">
      <c r="A58" s="50" t="s">
        <v>29</v>
      </c>
      <c r="B58" s="97" t="s">
        <v>280</v>
      </c>
      <c r="C58" s="50"/>
      <c r="D58" s="50"/>
      <c r="E58" s="50" t="s">
        <v>44</v>
      </c>
      <c r="F58" s="99" t="s">
        <v>281</v>
      </c>
      <c r="G58" s="50" t="s">
        <v>116</v>
      </c>
      <c r="H58" s="50" t="s">
        <v>282</v>
      </c>
      <c r="I58" s="51">
        <v>45216</v>
      </c>
      <c r="J58" s="50" t="s">
        <v>41</v>
      </c>
      <c r="K58" s="50">
        <v>817809</v>
      </c>
      <c r="L58" s="50">
        <v>10</v>
      </c>
      <c r="M58" s="157">
        <f>+L58*K58</f>
        <v>8178090</v>
      </c>
      <c r="N58" s="50"/>
    </row>
    <row r="59" spans="1:14" s="64" customFormat="1" ht="32.25" customHeight="1" x14ac:dyDescent="0.25">
      <c r="A59" s="50" t="s">
        <v>29</v>
      </c>
      <c r="B59" s="97" t="s">
        <v>283</v>
      </c>
      <c r="C59" s="51">
        <v>45224</v>
      </c>
      <c r="D59" s="50" t="s">
        <v>22</v>
      </c>
      <c r="E59" s="50" t="s">
        <v>23</v>
      </c>
      <c r="F59" s="99" t="s">
        <v>284</v>
      </c>
      <c r="G59" s="50" t="s">
        <v>97</v>
      </c>
      <c r="H59" s="50" t="s">
        <v>285</v>
      </c>
      <c r="I59" s="51">
        <v>45224</v>
      </c>
      <c r="J59" s="50" t="s">
        <v>51</v>
      </c>
      <c r="K59" s="50"/>
      <c r="L59" s="50"/>
      <c r="M59" s="157"/>
      <c r="N59" s="50"/>
    </row>
    <row r="60" spans="1:14" s="64" customFormat="1" ht="41.25" customHeight="1" x14ac:dyDescent="0.25">
      <c r="A60" s="50" t="s">
        <v>29</v>
      </c>
      <c r="B60" s="97" t="s">
        <v>286</v>
      </c>
      <c r="C60" s="51">
        <v>45219</v>
      </c>
      <c r="D60" s="50" t="s">
        <v>61</v>
      </c>
      <c r="E60" s="98" t="s">
        <v>47</v>
      </c>
      <c r="F60" s="99" t="s">
        <v>287</v>
      </c>
      <c r="G60" s="50" t="s">
        <v>88</v>
      </c>
      <c r="H60" s="50" t="s">
        <v>288</v>
      </c>
      <c r="I60" s="51">
        <v>45224</v>
      </c>
      <c r="J60" s="50" t="s">
        <v>51</v>
      </c>
      <c r="K60" s="50"/>
      <c r="L60" s="50"/>
      <c r="M60" s="157"/>
      <c r="N60" s="50"/>
    </row>
    <row r="61" spans="1:14" s="64" customFormat="1" ht="39.6" x14ac:dyDescent="0.25">
      <c r="A61" s="50" t="s">
        <v>29</v>
      </c>
      <c r="B61" s="97" t="s">
        <v>289</v>
      </c>
      <c r="C61" s="51">
        <v>45219</v>
      </c>
      <c r="D61" s="50" t="s">
        <v>92</v>
      </c>
      <c r="E61" s="50" t="s">
        <v>47</v>
      </c>
      <c r="F61" s="98" t="s">
        <v>290</v>
      </c>
      <c r="G61" s="50" t="s">
        <v>49</v>
      </c>
      <c r="H61" s="50" t="s">
        <v>291</v>
      </c>
      <c r="I61" s="51">
        <v>45225</v>
      </c>
      <c r="J61" s="50" t="s">
        <v>51</v>
      </c>
      <c r="K61" s="50"/>
      <c r="L61" s="50"/>
      <c r="M61" s="157"/>
      <c r="N61" s="50"/>
    </row>
    <row r="62" spans="1:14" ht="26.25" customHeight="1" x14ac:dyDescent="0.25">
      <c r="A62" s="28" t="s">
        <v>29</v>
      </c>
      <c r="B62" s="97" t="s">
        <v>292</v>
      </c>
      <c r="C62" s="94">
        <v>45223</v>
      </c>
      <c r="D62" s="50" t="s">
        <v>61</v>
      </c>
      <c r="E62" s="28" t="s">
        <v>23</v>
      </c>
      <c r="F62" s="98" t="s">
        <v>293</v>
      </c>
      <c r="G62" s="50" t="s">
        <v>58</v>
      </c>
      <c r="H62" s="98" t="s">
        <v>279</v>
      </c>
      <c r="I62" s="94">
        <v>45226</v>
      </c>
      <c r="J62" s="98" t="s">
        <v>51</v>
      </c>
      <c r="K62" s="28"/>
      <c r="L62" s="28"/>
      <c r="M62" s="151"/>
      <c r="N62" s="28"/>
    </row>
    <row r="63" spans="1:14" ht="43.5" customHeight="1" x14ac:dyDescent="0.25">
      <c r="A63" s="28" t="s">
        <v>29</v>
      </c>
      <c r="B63" s="97" t="s">
        <v>294</v>
      </c>
      <c r="C63" s="94">
        <v>45226</v>
      </c>
      <c r="D63" s="25" t="s">
        <v>61</v>
      </c>
      <c r="E63" s="100" t="s">
        <v>47</v>
      </c>
      <c r="F63" s="98" t="s">
        <v>295</v>
      </c>
      <c r="G63" s="25" t="s">
        <v>58</v>
      </c>
      <c r="H63" s="25" t="s">
        <v>248</v>
      </c>
      <c r="I63" s="133">
        <v>45756</v>
      </c>
      <c r="J63" s="98" t="s">
        <v>51</v>
      </c>
      <c r="K63" s="28"/>
      <c r="L63" s="28"/>
      <c r="M63" s="151"/>
      <c r="N63" s="28"/>
    </row>
    <row r="64" spans="1:14" ht="26.4" x14ac:dyDescent="0.25">
      <c r="A64" s="28" t="s">
        <v>29</v>
      </c>
      <c r="B64" s="97" t="s">
        <v>296</v>
      </c>
      <c r="C64" s="94">
        <v>45231</v>
      </c>
      <c r="D64" s="28" t="s">
        <v>22</v>
      </c>
      <c r="E64" s="28" t="s">
        <v>23</v>
      </c>
      <c r="F64" s="99" t="s">
        <v>297</v>
      </c>
      <c r="G64" s="28" t="s">
        <v>144</v>
      </c>
      <c r="H64" s="98" t="s">
        <v>298</v>
      </c>
      <c r="I64" s="101">
        <v>45231</v>
      </c>
      <c r="J64" s="98" t="s">
        <v>51</v>
      </c>
      <c r="K64" s="28"/>
      <c r="L64" s="28"/>
      <c r="M64" s="151"/>
      <c r="N64" s="28"/>
    </row>
    <row r="65" spans="1:14" s="102" customFormat="1" ht="38.25" customHeight="1" x14ac:dyDescent="0.25">
      <c r="A65" s="28" t="s">
        <v>29</v>
      </c>
      <c r="B65" s="97" t="s">
        <v>299</v>
      </c>
      <c r="C65" s="94">
        <v>45232</v>
      </c>
      <c r="D65" s="25" t="s">
        <v>61</v>
      </c>
      <c r="E65" s="100" t="s">
        <v>23</v>
      </c>
      <c r="F65" s="98" t="s">
        <v>300</v>
      </c>
      <c r="G65" s="25" t="s">
        <v>58</v>
      </c>
      <c r="H65" s="98" t="s">
        <v>301</v>
      </c>
      <c r="I65" s="25"/>
      <c r="J65" s="98" t="s">
        <v>51</v>
      </c>
      <c r="K65" s="28"/>
      <c r="L65" s="28"/>
      <c r="M65" s="151"/>
      <c r="N65" s="28"/>
    </row>
    <row r="66" spans="1:14" ht="27.75" customHeight="1" x14ac:dyDescent="0.25">
      <c r="A66" s="28" t="s">
        <v>29</v>
      </c>
      <c r="B66" s="97" t="s">
        <v>302</v>
      </c>
      <c r="C66" s="94">
        <v>45236</v>
      </c>
      <c r="D66" s="28" t="s">
        <v>22</v>
      </c>
      <c r="E66" s="28" t="s">
        <v>23</v>
      </c>
      <c r="F66" s="98" t="s">
        <v>303</v>
      </c>
      <c r="G66" s="28" t="s">
        <v>58</v>
      </c>
      <c r="H66" s="103" t="s">
        <v>304</v>
      </c>
      <c r="I66" s="101">
        <v>45237</v>
      </c>
      <c r="J66" s="98" t="s">
        <v>51</v>
      </c>
      <c r="K66" s="28"/>
      <c r="L66" s="28"/>
      <c r="M66" s="151"/>
      <c r="N66" s="28"/>
    </row>
    <row r="67" spans="1:14" ht="52.8" x14ac:dyDescent="0.25">
      <c r="A67" s="28" t="s">
        <v>29</v>
      </c>
      <c r="B67" s="97" t="s">
        <v>305</v>
      </c>
      <c r="C67" s="94">
        <v>45238</v>
      </c>
      <c r="D67" s="100" t="s">
        <v>22</v>
      </c>
      <c r="E67" s="100" t="s">
        <v>23</v>
      </c>
      <c r="F67" s="98" t="s">
        <v>306</v>
      </c>
      <c r="G67" s="100" t="s">
        <v>58</v>
      </c>
      <c r="H67" s="103" t="s">
        <v>267</v>
      </c>
      <c r="I67" s="101">
        <v>45238</v>
      </c>
      <c r="J67" s="98" t="s">
        <v>51</v>
      </c>
      <c r="K67" s="28"/>
      <c r="L67" s="28"/>
      <c r="M67" s="151"/>
      <c r="N67" s="28"/>
    </row>
    <row r="68" spans="1:14" ht="52.8" x14ac:dyDescent="0.25">
      <c r="A68" s="28" t="s">
        <v>29</v>
      </c>
      <c r="B68" s="97" t="s">
        <v>307</v>
      </c>
      <c r="C68" s="104">
        <v>45240</v>
      </c>
      <c r="D68" s="103" t="s">
        <v>61</v>
      </c>
      <c r="E68" s="103" t="s">
        <v>23</v>
      </c>
      <c r="F68" s="98" t="s">
        <v>308</v>
      </c>
      <c r="G68" s="103" t="s">
        <v>58</v>
      </c>
      <c r="H68" s="103" t="s">
        <v>270</v>
      </c>
      <c r="I68" s="104">
        <v>45240</v>
      </c>
      <c r="J68" s="98" t="s">
        <v>51</v>
      </c>
      <c r="K68" s="28"/>
      <c r="L68" s="28"/>
      <c r="M68" s="151"/>
      <c r="N68" s="28"/>
    </row>
    <row r="69" spans="1:14" s="68" customFormat="1" ht="42" customHeight="1" x14ac:dyDescent="0.25">
      <c r="A69" s="4" t="s">
        <v>29</v>
      </c>
      <c r="B69" s="5" t="s">
        <v>309</v>
      </c>
      <c r="C69" s="6">
        <v>45243</v>
      </c>
      <c r="D69" s="4" t="s">
        <v>56</v>
      </c>
      <c r="E69" s="4" t="s">
        <v>47</v>
      </c>
      <c r="F69" s="103" t="s">
        <v>310</v>
      </c>
      <c r="G69" s="4" t="s">
        <v>49</v>
      </c>
      <c r="H69" s="4" t="s">
        <v>311</v>
      </c>
      <c r="I69" s="6">
        <v>45245</v>
      </c>
      <c r="J69" s="100" t="s">
        <v>27</v>
      </c>
      <c r="K69" s="4"/>
      <c r="L69" s="4"/>
      <c r="M69" s="152"/>
      <c r="N69" s="4"/>
    </row>
    <row r="70" spans="1:14" ht="30" customHeight="1" x14ac:dyDescent="0.25">
      <c r="A70" s="100" t="s">
        <v>29</v>
      </c>
      <c r="B70" s="5" t="s">
        <v>312</v>
      </c>
      <c r="C70" s="101">
        <v>45247</v>
      </c>
      <c r="D70" s="100" t="s">
        <v>61</v>
      </c>
      <c r="E70" s="100" t="s">
        <v>23</v>
      </c>
      <c r="F70" s="98" t="s">
        <v>313</v>
      </c>
      <c r="G70" s="100" t="s">
        <v>58</v>
      </c>
      <c r="H70" s="103" t="s">
        <v>103</v>
      </c>
      <c r="I70" s="101">
        <v>45253</v>
      </c>
      <c r="J70" s="98" t="s">
        <v>51</v>
      </c>
    </row>
    <row r="71" spans="1:14" ht="27.75" customHeight="1" x14ac:dyDescent="0.25">
      <c r="A71" s="103" t="s">
        <v>29</v>
      </c>
      <c r="B71" s="105" t="s">
        <v>314</v>
      </c>
      <c r="C71" s="104">
        <v>45252</v>
      </c>
      <c r="D71" s="103" t="s">
        <v>43</v>
      </c>
      <c r="E71" s="103" t="s">
        <v>23</v>
      </c>
      <c r="F71" s="98" t="s">
        <v>315</v>
      </c>
      <c r="G71" s="103" t="s">
        <v>144</v>
      </c>
      <c r="H71" s="103" t="s">
        <v>126</v>
      </c>
      <c r="I71" s="104">
        <v>45253</v>
      </c>
      <c r="J71" s="98" t="s">
        <v>51</v>
      </c>
    </row>
    <row r="72" spans="1:14" ht="37.5" customHeight="1" x14ac:dyDescent="0.25">
      <c r="A72" s="100" t="s">
        <v>29</v>
      </c>
      <c r="B72" s="5" t="s">
        <v>316</v>
      </c>
      <c r="C72" s="101">
        <v>45271</v>
      </c>
      <c r="D72" s="100" t="s">
        <v>61</v>
      </c>
      <c r="E72" s="100" t="s">
        <v>23</v>
      </c>
      <c r="F72" s="103" t="s">
        <v>317</v>
      </c>
      <c r="G72" s="100" t="s">
        <v>144</v>
      </c>
      <c r="H72" s="100" t="s">
        <v>318</v>
      </c>
      <c r="I72" s="101">
        <v>45271</v>
      </c>
      <c r="J72" s="100" t="s">
        <v>51</v>
      </c>
    </row>
    <row r="73" spans="1:14" ht="42" customHeight="1" x14ac:dyDescent="0.25">
      <c r="A73" s="4" t="s">
        <v>29</v>
      </c>
      <c r="B73" s="5" t="s">
        <v>319</v>
      </c>
      <c r="C73" s="104">
        <v>45273</v>
      </c>
      <c r="D73" s="103" t="s">
        <v>61</v>
      </c>
      <c r="E73" s="103" t="s">
        <v>47</v>
      </c>
      <c r="F73" s="103" t="s">
        <v>320</v>
      </c>
      <c r="G73" s="103" t="s">
        <v>116</v>
      </c>
      <c r="H73" s="103" t="s">
        <v>321</v>
      </c>
      <c r="I73" s="104">
        <v>45273</v>
      </c>
      <c r="J73" s="103" t="s">
        <v>51</v>
      </c>
    </row>
    <row r="74" spans="1:14" s="68" customFormat="1" x14ac:dyDescent="0.25">
      <c r="A74" s="4"/>
      <c r="B74" s="5"/>
      <c r="C74" s="6"/>
      <c r="D74" s="4"/>
      <c r="E74" s="4"/>
      <c r="F74" s="7"/>
      <c r="G74" s="4"/>
      <c r="H74" s="4"/>
      <c r="I74" s="4"/>
      <c r="J74" s="4"/>
      <c r="M74" s="161"/>
    </row>
    <row r="75" spans="1:14" ht="26.25" customHeight="1" x14ac:dyDescent="0.25">
      <c r="A75" s="28"/>
      <c r="B75" s="97"/>
      <c r="C75" s="28"/>
      <c r="D75" s="28"/>
      <c r="E75" s="28"/>
      <c r="F75" s="28"/>
      <c r="G75" s="28"/>
      <c r="H75" s="28"/>
      <c r="I75" s="28"/>
      <c r="J75" s="28"/>
    </row>
    <row r="76" spans="1:14" x14ac:dyDescent="0.25">
      <c r="A76" s="28"/>
      <c r="B76" s="97"/>
      <c r="C76" s="28"/>
      <c r="D76" s="28"/>
      <c r="E76" s="28"/>
      <c r="F76" s="28"/>
      <c r="G76" s="28"/>
      <c r="H76" s="28"/>
      <c r="I76" s="28"/>
      <c r="J76" s="28"/>
    </row>
    <row r="77" spans="1:14" ht="26.25" customHeight="1" x14ac:dyDescent="0.25">
      <c r="A77" s="28"/>
      <c r="B77" s="97"/>
      <c r="C77" s="28"/>
      <c r="D77" s="28"/>
      <c r="E77" s="28"/>
      <c r="F77" s="28"/>
      <c r="G77" s="28"/>
      <c r="H77" s="28"/>
      <c r="I77" s="28"/>
      <c r="J77" s="28"/>
    </row>
    <row r="79" spans="1:14" s="68" customFormat="1" ht="33.75" customHeight="1" x14ac:dyDescent="0.25">
      <c r="M79" s="161"/>
    </row>
    <row r="80" spans="1:14" ht="26.25" customHeight="1" x14ac:dyDescent="0.25"/>
    <row r="87" ht="21.75" customHeight="1" x14ac:dyDescent="0.25"/>
    <row r="101" spans="13:13" s="68" customFormat="1" x14ac:dyDescent="0.25">
      <c r="M101" s="161"/>
    </row>
    <row r="161" ht="22.5" customHeight="1" x14ac:dyDescent="0.25"/>
    <row r="164" ht="23.25" customHeight="1" x14ac:dyDescent="0.25"/>
  </sheetData>
  <autoFilter ref="A5:N73" xr:uid="{00000000-0009-0000-0000-000002000000}"/>
  <mergeCells count="22">
    <mergeCell ref="L5:L6"/>
    <mergeCell ref="G5:G6"/>
    <mergeCell ref="H5:H6"/>
    <mergeCell ref="I5:I6"/>
    <mergeCell ref="J5:J6"/>
    <mergeCell ref="K5:K6"/>
    <mergeCell ref="M5:M6"/>
    <mergeCell ref="A1:B2"/>
    <mergeCell ref="C1:N1"/>
    <mergeCell ref="C2:N2"/>
    <mergeCell ref="A3:B3"/>
    <mergeCell ref="C3:N3"/>
    <mergeCell ref="N5:N6"/>
    <mergeCell ref="A4:C4"/>
    <mergeCell ref="D4:K4"/>
    <mergeCell ref="L4:N4"/>
    <mergeCell ref="A5:A6"/>
    <mergeCell ref="B5:B6"/>
    <mergeCell ref="C5:C6"/>
    <mergeCell ref="D5:D6"/>
    <mergeCell ref="E5:E6"/>
    <mergeCell ref="F5:F6"/>
  </mergeCells>
  <dataValidations disablePrompts="1" count="6">
    <dataValidation type="list" allowBlank="1" showErrorMessage="1" sqref="A3" xr:uid="{00000000-0002-0000-0200-000000000000}">
      <formula1>"#ref!"</formula1>
      <formula2>0</formula2>
    </dataValidation>
    <dataValidation type="list" allowBlank="1" showInputMessage="1" showErrorMessage="1" sqref="A7:A1077" xr:uid="{00000000-0002-0000-0200-000001000000}">
      <formula1>$S$8:$S$10</formula1>
      <formula2>0</formula2>
    </dataValidation>
    <dataValidation type="list" allowBlank="1" showInputMessage="1" showErrorMessage="1" sqref="G7:G11 G13:G1077" xr:uid="{00000000-0002-0000-0200-000002000000}">
      <formula1>$Y$8:$Y$33</formula1>
      <formula2>0</formula2>
    </dataValidation>
    <dataValidation type="list" allowBlank="1" showInputMessage="1" showErrorMessage="1" sqref="E7:E11 E13:E1077" xr:uid="{00000000-0002-0000-0200-000003000000}">
      <formula1>$W$8:$W$14</formula1>
      <formula2>0</formula2>
    </dataValidation>
    <dataValidation type="list" allowBlank="1" showInputMessage="1" showErrorMessage="1" sqref="D7:D1077" xr:uid="{00000000-0002-0000-0200-000004000000}">
      <formula1>$U$8:$U$22</formula1>
      <formula2>0</formula2>
    </dataValidation>
    <dataValidation type="list" allowBlank="1" showInputMessage="1" showErrorMessage="1" sqref="J7:J11 J13:J1077" xr:uid="{00000000-0002-0000-0200-000005000000}">
      <formula1>$Q$9:$Q$22</formula1>
      <formula2>0</formula2>
    </dataValidation>
  </dataValidations>
  <pageMargins left="0.25" right="0.25" top="0.75" bottom="0.75" header="0.511811023622047" footer="0.511811023622047"/>
  <pageSetup paperSize="9" fitToHeight="0" orientation="landscape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Y164"/>
  <sheetViews>
    <sheetView zoomScale="80" zoomScaleNormal="80" workbookViewId="0">
      <pane xSplit="2" ySplit="6" topLeftCell="C46" activePane="bottomRight" state="frozen"/>
      <selection pane="topRight" activeCell="C1" sqref="C1"/>
      <selection pane="bottomLeft" activeCell="A51" sqref="A51"/>
      <selection pane="bottomRight" activeCell="B67" sqref="B67"/>
    </sheetView>
  </sheetViews>
  <sheetFormatPr baseColWidth="10" defaultColWidth="11" defaultRowHeight="13.2" x14ac:dyDescent="0.25"/>
  <cols>
    <col min="1" max="1" width="4.88671875" customWidth="1"/>
    <col min="2" max="2" width="8.44140625" customWidth="1"/>
    <col min="3" max="3" width="12.109375" customWidth="1"/>
    <col min="4" max="4" width="16.33203125" customWidth="1"/>
    <col min="5" max="5" width="16.44140625" customWidth="1"/>
    <col min="6" max="6" width="48.33203125" customWidth="1"/>
    <col min="7" max="7" width="19.6640625" customWidth="1"/>
    <col min="8" max="8" width="22.6640625" customWidth="1"/>
    <col min="9" max="9" width="12.109375" customWidth="1"/>
    <col min="10" max="10" width="14.109375" customWidth="1"/>
    <col min="11" max="11" width="35.44140625" customWidth="1"/>
    <col min="12" max="12" width="16" customWidth="1"/>
    <col min="13" max="13" width="16" style="153" customWidth="1"/>
    <col min="17" max="17" width="11.88671875" customWidth="1"/>
    <col min="19" max="19" width="10.44140625" customWidth="1"/>
    <col min="21" max="21" width="17.33203125" customWidth="1"/>
    <col min="23" max="23" width="17.33203125" customWidth="1"/>
  </cols>
  <sheetData>
    <row r="1" spans="1:25" s="1" customFormat="1" ht="24" customHeight="1" x14ac:dyDescent="0.3">
      <c r="A1" s="168"/>
      <c r="B1" s="168"/>
      <c r="C1" s="169" t="s">
        <v>0</v>
      </c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</row>
    <row r="2" spans="1:25" s="2" customFormat="1" ht="54.75" customHeight="1" x14ac:dyDescent="0.3">
      <c r="A2" s="168"/>
      <c r="B2" s="168"/>
      <c r="C2" s="170" t="s">
        <v>1</v>
      </c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</row>
    <row r="3" spans="1:25" s="2" customFormat="1" ht="21.75" customHeight="1" x14ac:dyDescent="0.3">
      <c r="A3" s="171" t="s">
        <v>2</v>
      </c>
      <c r="B3" s="171"/>
      <c r="C3" s="172" t="s">
        <v>3</v>
      </c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</row>
    <row r="4" spans="1:25" s="3" customFormat="1" ht="27.75" customHeight="1" x14ac:dyDescent="0.3">
      <c r="A4" s="173" t="s">
        <v>4</v>
      </c>
      <c r="B4" s="173"/>
      <c r="C4" s="173"/>
      <c r="D4" s="174"/>
      <c r="E4" s="174"/>
      <c r="F4" s="174"/>
      <c r="G4" s="174"/>
      <c r="H4" s="174"/>
      <c r="I4" s="174"/>
      <c r="J4" s="174"/>
      <c r="K4" s="174"/>
      <c r="L4" s="175" t="s">
        <v>5</v>
      </c>
      <c r="M4" s="175"/>
      <c r="N4" s="175"/>
    </row>
    <row r="5" spans="1:25" ht="91.5" customHeight="1" x14ac:dyDescent="0.25">
      <c r="A5" s="176" t="s">
        <v>6</v>
      </c>
      <c r="B5" s="177" t="s">
        <v>7</v>
      </c>
      <c r="C5" s="178" t="s">
        <v>8</v>
      </c>
      <c r="D5" s="167" t="s">
        <v>9</v>
      </c>
      <c r="E5" s="167" t="s">
        <v>10</v>
      </c>
      <c r="F5" s="167" t="s">
        <v>11</v>
      </c>
      <c r="G5" s="176" t="s">
        <v>12</v>
      </c>
      <c r="H5" s="176" t="s">
        <v>13</v>
      </c>
      <c r="I5" s="178" t="s">
        <v>14</v>
      </c>
      <c r="J5" s="182" t="s">
        <v>15</v>
      </c>
      <c r="K5" s="183" t="s">
        <v>16</v>
      </c>
      <c r="L5" s="181" t="s">
        <v>17</v>
      </c>
      <c r="M5" s="184" t="s">
        <v>18</v>
      </c>
      <c r="N5" s="180" t="s">
        <v>19</v>
      </c>
    </row>
    <row r="6" spans="1:25" x14ac:dyDescent="0.25">
      <c r="A6" s="176"/>
      <c r="B6" s="177"/>
      <c r="C6" s="178"/>
      <c r="D6" s="167"/>
      <c r="E6" s="167"/>
      <c r="F6" s="167"/>
      <c r="G6" s="176"/>
      <c r="H6" s="176"/>
      <c r="I6" s="178"/>
      <c r="J6" s="182"/>
      <c r="K6" s="183"/>
      <c r="L6" s="181"/>
      <c r="M6" s="184"/>
      <c r="N6" s="180"/>
    </row>
    <row r="7" spans="1:25" ht="52.8" x14ac:dyDescent="0.25">
      <c r="A7" s="106" t="s">
        <v>29</v>
      </c>
      <c r="B7" s="107" t="s">
        <v>322</v>
      </c>
      <c r="C7" s="108">
        <v>44571</v>
      </c>
      <c r="D7" s="109" t="s">
        <v>56</v>
      </c>
      <c r="E7" s="109" t="s">
        <v>23</v>
      </c>
      <c r="F7" s="110" t="s">
        <v>323</v>
      </c>
      <c r="G7" s="111" t="s">
        <v>135</v>
      </c>
      <c r="H7" s="112" t="s">
        <v>213</v>
      </c>
      <c r="I7" s="113">
        <v>44214</v>
      </c>
      <c r="J7" s="114" t="s">
        <v>27</v>
      </c>
      <c r="K7" s="8"/>
      <c r="L7" s="9"/>
      <c r="M7" s="154"/>
      <c r="N7" s="10"/>
      <c r="Q7" s="11" t="s">
        <v>28</v>
      </c>
      <c r="R7" s="12"/>
      <c r="S7" s="13" t="s">
        <v>6</v>
      </c>
      <c r="T7" s="12"/>
      <c r="U7" s="14" t="s">
        <v>9</v>
      </c>
      <c r="V7" s="12"/>
      <c r="W7" s="12" t="s">
        <v>10</v>
      </c>
      <c r="Y7" s="12" t="s">
        <v>12</v>
      </c>
    </row>
    <row r="8" spans="1:25" x14ac:dyDescent="0.25">
      <c r="A8" s="72" t="s">
        <v>29</v>
      </c>
      <c r="B8" s="80" t="s">
        <v>324</v>
      </c>
      <c r="C8" s="73">
        <v>44579</v>
      </c>
      <c r="D8" s="74" t="s">
        <v>56</v>
      </c>
      <c r="E8" s="74" t="s">
        <v>47</v>
      </c>
      <c r="F8" s="64" t="s">
        <v>325</v>
      </c>
      <c r="G8" s="76" t="s">
        <v>88</v>
      </c>
      <c r="H8" s="77" t="s">
        <v>326</v>
      </c>
      <c r="I8" s="78"/>
      <c r="J8" s="79"/>
      <c r="K8" s="8"/>
      <c r="L8" s="9"/>
      <c r="M8" s="154"/>
      <c r="N8" s="10"/>
      <c r="S8" s="27" t="s">
        <v>29</v>
      </c>
      <c r="U8" s="28" t="s">
        <v>35</v>
      </c>
      <c r="W8" t="s">
        <v>36</v>
      </c>
      <c r="Y8" s="29" t="s">
        <v>37</v>
      </c>
    </row>
    <row r="9" spans="1:25" x14ac:dyDescent="0.25">
      <c r="A9" s="72" t="s">
        <v>29</v>
      </c>
      <c r="B9" s="80" t="s">
        <v>327</v>
      </c>
      <c r="C9" s="73">
        <v>44588</v>
      </c>
      <c r="D9" s="74" t="s">
        <v>56</v>
      </c>
      <c r="E9" s="74" t="s">
        <v>47</v>
      </c>
      <c r="F9" s="75" t="s">
        <v>328</v>
      </c>
      <c r="G9" s="76" t="s">
        <v>58</v>
      </c>
      <c r="H9" s="77" t="s">
        <v>329</v>
      </c>
      <c r="I9" s="78"/>
      <c r="J9" s="79" t="s">
        <v>52</v>
      </c>
      <c r="K9" s="8"/>
      <c r="L9" s="9"/>
      <c r="M9" s="154"/>
      <c r="N9" s="10"/>
      <c r="Q9" s="38" t="s">
        <v>41</v>
      </c>
      <c r="S9" s="27" t="s">
        <v>42</v>
      </c>
      <c r="U9" s="28" t="s">
        <v>43</v>
      </c>
      <c r="W9" t="s">
        <v>44</v>
      </c>
      <c r="Y9" s="29" t="s">
        <v>45</v>
      </c>
    </row>
    <row r="10" spans="1:25" ht="24.75" customHeight="1" x14ac:dyDescent="0.25">
      <c r="A10" s="72" t="s">
        <v>29</v>
      </c>
      <c r="B10" s="80" t="s">
        <v>330</v>
      </c>
      <c r="C10" s="73">
        <v>44589</v>
      </c>
      <c r="D10" s="74" t="s">
        <v>56</v>
      </c>
      <c r="E10" s="74" t="s">
        <v>44</v>
      </c>
      <c r="F10" s="75" t="s">
        <v>331</v>
      </c>
      <c r="G10" s="76"/>
      <c r="H10" s="77"/>
      <c r="I10" s="78"/>
      <c r="J10" s="79" t="s">
        <v>64</v>
      </c>
      <c r="K10" s="115">
        <f>+M10/L10</f>
        <v>14915.508360137983</v>
      </c>
      <c r="L10" s="9">
        <v>600</v>
      </c>
      <c r="M10" s="162">
        <v>8949305.0160827897</v>
      </c>
      <c r="N10" s="10"/>
      <c r="Q10" s="38" t="s">
        <v>332</v>
      </c>
      <c r="S10" s="39" t="s">
        <v>20</v>
      </c>
      <c r="U10" s="28" t="s">
        <v>53</v>
      </c>
      <c r="W10" t="s">
        <v>47</v>
      </c>
      <c r="Y10" s="29" t="s">
        <v>54</v>
      </c>
    </row>
    <row r="11" spans="1:25" x14ac:dyDescent="0.25">
      <c r="A11" s="72" t="s">
        <v>29</v>
      </c>
      <c r="B11" s="80" t="s">
        <v>333</v>
      </c>
      <c r="C11" s="73">
        <v>20222</v>
      </c>
      <c r="D11" s="74" t="s">
        <v>56</v>
      </c>
      <c r="E11" s="74" t="s">
        <v>44</v>
      </c>
      <c r="F11" s="75" t="s">
        <v>334</v>
      </c>
      <c r="G11" s="76" t="s">
        <v>58</v>
      </c>
      <c r="H11" s="77" t="s">
        <v>329</v>
      </c>
      <c r="I11" s="78">
        <v>44867</v>
      </c>
      <c r="J11" s="79" t="s">
        <v>52</v>
      </c>
      <c r="K11" s="8">
        <v>247501</v>
      </c>
      <c r="L11" s="9">
        <v>22</v>
      </c>
      <c r="M11" s="154">
        <f>+L11*K11</f>
        <v>5445022</v>
      </c>
      <c r="N11" s="10"/>
      <c r="Q11" s="38" t="s">
        <v>52</v>
      </c>
      <c r="U11" s="28" t="s">
        <v>22</v>
      </c>
      <c r="W11" t="s">
        <v>23</v>
      </c>
      <c r="Y11" s="29" t="s">
        <v>59</v>
      </c>
    </row>
    <row r="12" spans="1:25" ht="22.8" x14ac:dyDescent="0.25">
      <c r="A12" s="106" t="s">
        <v>20</v>
      </c>
      <c r="B12" s="107" t="s">
        <v>335</v>
      </c>
      <c r="C12" s="108">
        <v>44596</v>
      </c>
      <c r="D12" s="109" t="s">
        <v>56</v>
      </c>
      <c r="E12" s="109" t="s">
        <v>44</v>
      </c>
      <c r="F12" s="110" t="s">
        <v>336</v>
      </c>
      <c r="G12" s="111" t="s">
        <v>37</v>
      </c>
      <c r="H12" s="112" t="s">
        <v>337</v>
      </c>
      <c r="I12" s="113">
        <v>44596</v>
      </c>
      <c r="J12" s="114" t="s">
        <v>27</v>
      </c>
      <c r="K12" s="8">
        <f>M12/L12</f>
        <v>11622</v>
      </c>
      <c r="L12" s="9">
        <v>103</v>
      </c>
      <c r="M12" s="154">
        <v>1197066</v>
      </c>
      <c r="N12" s="10"/>
      <c r="Q12" s="47" t="s">
        <v>27</v>
      </c>
      <c r="U12" s="28"/>
      <c r="Y12" s="29"/>
    </row>
    <row r="13" spans="1:25" ht="23.4" x14ac:dyDescent="0.25">
      <c r="A13" s="72" t="s">
        <v>29</v>
      </c>
      <c r="B13" s="80" t="s">
        <v>338</v>
      </c>
      <c r="C13" s="73">
        <v>44617</v>
      </c>
      <c r="D13" s="74" t="s">
        <v>56</v>
      </c>
      <c r="E13" s="74" t="s">
        <v>23</v>
      </c>
      <c r="F13" s="75" t="s">
        <v>339</v>
      </c>
      <c r="G13" s="76" t="s">
        <v>25</v>
      </c>
      <c r="H13" s="77" t="s">
        <v>340</v>
      </c>
      <c r="I13" s="78">
        <v>44617</v>
      </c>
      <c r="J13" s="79" t="s">
        <v>67</v>
      </c>
      <c r="K13" s="8"/>
      <c r="L13" s="9"/>
      <c r="M13" s="154"/>
      <c r="N13" s="10"/>
      <c r="Q13" s="38" t="s">
        <v>341</v>
      </c>
      <c r="U13" s="28" t="s">
        <v>68</v>
      </c>
      <c r="W13" t="s">
        <v>69</v>
      </c>
      <c r="Y13" s="29" t="s">
        <v>70</v>
      </c>
    </row>
    <row r="14" spans="1:25" x14ac:dyDescent="0.25">
      <c r="A14" s="72" t="s">
        <v>20</v>
      </c>
      <c r="B14" s="80" t="s">
        <v>342</v>
      </c>
      <c r="C14" s="73">
        <v>44624</v>
      </c>
      <c r="D14" s="74" t="s">
        <v>22</v>
      </c>
      <c r="E14" s="74" t="s">
        <v>23</v>
      </c>
      <c r="F14" s="75" t="s">
        <v>343</v>
      </c>
      <c r="G14" s="76" t="s">
        <v>58</v>
      </c>
      <c r="H14" s="77" t="s">
        <v>344</v>
      </c>
      <c r="I14" s="78">
        <v>44624</v>
      </c>
      <c r="J14" s="79" t="s">
        <v>75</v>
      </c>
      <c r="K14" s="8"/>
      <c r="L14" s="9"/>
      <c r="M14" s="154"/>
      <c r="N14" s="10"/>
      <c r="Q14" s="38" t="s">
        <v>74</v>
      </c>
      <c r="U14" s="28" t="s">
        <v>76</v>
      </c>
      <c r="W14" t="s">
        <v>77</v>
      </c>
      <c r="Y14" s="29" t="s">
        <v>78</v>
      </c>
    </row>
    <row r="15" spans="1:25" x14ac:dyDescent="0.25">
      <c r="A15" s="72" t="s">
        <v>29</v>
      </c>
      <c r="B15" s="80" t="s">
        <v>345</v>
      </c>
      <c r="C15" s="73">
        <v>44628</v>
      </c>
      <c r="D15" s="74" t="s">
        <v>56</v>
      </c>
      <c r="E15" s="74" t="s">
        <v>44</v>
      </c>
      <c r="F15" s="75" t="s">
        <v>346</v>
      </c>
      <c r="G15" s="76" t="s">
        <v>97</v>
      </c>
      <c r="H15" s="77" t="s">
        <v>347</v>
      </c>
      <c r="I15" s="78"/>
      <c r="J15" s="79" t="s">
        <v>74</v>
      </c>
      <c r="K15" s="8"/>
      <c r="L15" s="9"/>
      <c r="M15" s="154"/>
      <c r="N15" s="10"/>
      <c r="Q15" s="53" t="s">
        <v>64</v>
      </c>
      <c r="U15" s="28" t="s">
        <v>84</v>
      </c>
      <c r="Y15" s="29" t="s">
        <v>58</v>
      </c>
    </row>
    <row r="16" spans="1:25" ht="23.4" x14ac:dyDescent="0.25">
      <c r="A16" s="72" t="s">
        <v>29</v>
      </c>
      <c r="B16" s="80" t="s">
        <v>348</v>
      </c>
      <c r="C16" s="73">
        <v>44629</v>
      </c>
      <c r="D16" s="74" t="s">
        <v>56</v>
      </c>
      <c r="E16" s="74" t="s">
        <v>23</v>
      </c>
      <c r="F16" s="75" t="s">
        <v>349</v>
      </c>
      <c r="G16" s="76" t="s">
        <v>37</v>
      </c>
      <c r="H16" s="77" t="s">
        <v>350</v>
      </c>
      <c r="I16" s="78">
        <v>44629</v>
      </c>
      <c r="J16" s="79" t="s">
        <v>27</v>
      </c>
      <c r="K16" s="8"/>
      <c r="L16" s="9"/>
      <c r="M16" s="163"/>
      <c r="N16" s="10"/>
      <c r="Q16" s="53" t="s">
        <v>67</v>
      </c>
      <c r="U16" s="28" t="s">
        <v>61</v>
      </c>
      <c r="Y16" s="29" t="s">
        <v>88</v>
      </c>
    </row>
    <row r="17" spans="1:25" x14ac:dyDescent="0.25">
      <c r="A17" s="72" t="s">
        <v>29</v>
      </c>
      <c r="B17" s="80" t="s">
        <v>351</v>
      </c>
      <c r="C17" s="73">
        <v>44628</v>
      </c>
      <c r="D17" s="74" t="s">
        <v>35</v>
      </c>
      <c r="E17" s="74" t="s">
        <v>23</v>
      </c>
      <c r="F17" s="75" t="s">
        <v>352</v>
      </c>
      <c r="G17" s="76" t="s">
        <v>58</v>
      </c>
      <c r="H17" s="77" t="s">
        <v>353</v>
      </c>
      <c r="I17" s="78">
        <v>44630</v>
      </c>
      <c r="J17" s="79" t="s">
        <v>75</v>
      </c>
      <c r="K17" s="8"/>
      <c r="L17" s="9"/>
      <c r="M17" s="154"/>
      <c r="N17" s="10"/>
      <c r="Q17" s="53" t="s">
        <v>354</v>
      </c>
      <c r="U17" s="28" t="s">
        <v>92</v>
      </c>
      <c r="Y17" s="29" t="s">
        <v>93</v>
      </c>
    </row>
    <row r="18" spans="1:25" ht="23.4" x14ac:dyDescent="0.25">
      <c r="A18" s="72" t="s">
        <v>20</v>
      </c>
      <c r="B18" s="80" t="s">
        <v>355</v>
      </c>
      <c r="C18" s="73">
        <v>44631</v>
      </c>
      <c r="D18" s="74" t="s">
        <v>56</v>
      </c>
      <c r="E18" s="74" t="s">
        <v>69</v>
      </c>
      <c r="F18" s="75" t="s">
        <v>356</v>
      </c>
      <c r="G18" s="76" t="s">
        <v>37</v>
      </c>
      <c r="H18" s="77" t="s">
        <v>357</v>
      </c>
      <c r="I18" s="78">
        <v>44767</v>
      </c>
      <c r="J18" s="79" t="s">
        <v>27</v>
      </c>
      <c r="K18" s="8">
        <f>M18/L18</f>
        <v>6610.3667368421047</v>
      </c>
      <c r="L18" s="9">
        <v>95</v>
      </c>
      <c r="M18" s="154">
        <v>627984.84</v>
      </c>
      <c r="N18" s="10"/>
      <c r="O18" s="70"/>
      <c r="Q18" s="53" t="s">
        <v>332</v>
      </c>
      <c r="U18" s="28" t="s">
        <v>56</v>
      </c>
      <c r="Y18" s="29" t="s">
        <v>97</v>
      </c>
    </row>
    <row r="19" spans="1:25" ht="23.4" x14ac:dyDescent="0.25">
      <c r="A19" s="72" t="s">
        <v>29</v>
      </c>
      <c r="B19" s="80" t="s">
        <v>358</v>
      </c>
      <c r="C19" s="73">
        <v>44645</v>
      </c>
      <c r="D19" s="74" t="s">
        <v>61</v>
      </c>
      <c r="E19" s="74" t="s">
        <v>47</v>
      </c>
      <c r="F19" s="75" t="s">
        <v>359</v>
      </c>
      <c r="G19" s="76" t="s">
        <v>49</v>
      </c>
      <c r="H19" s="77" t="s">
        <v>156</v>
      </c>
      <c r="I19" s="78">
        <v>44645</v>
      </c>
      <c r="J19" s="79" t="s">
        <v>27</v>
      </c>
      <c r="K19" s="8"/>
      <c r="L19" s="9"/>
      <c r="M19" s="154"/>
      <c r="N19" s="10"/>
      <c r="Q19" s="38" t="s">
        <v>360</v>
      </c>
      <c r="U19" s="28" t="s">
        <v>31</v>
      </c>
      <c r="Y19" s="29" t="s">
        <v>100</v>
      </c>
    </row>
    <row r="20" spans="1:25" ht="33" customHeight="1" x14ac:dyDescent="0.25">
      <c r="A20" s="72" t="s">
        <v>29</v>
      </c>
      <c r="B20" s="80" t="s">
        <v>361</v>
      </c>
      <c r="C20" s="73">
        <v>44645</v>
      </c>
      <c r="D20" s="74" t="s">
        <v>35</v>
      </c>
      <c r="E20" s="74" t="s">
        <v>44</v>
      </c>
      <c r="F20" s="75" t="s">
        <v>362</v>
      </c>
      <c r="G20" s="76" t="s">
        <v>58</v>
      </c>
      <c r="H20" s="77" t="s">
        <v>363</v>
      </c>
      <c r="I20" s="78"/>
      <c r="J20" s="79" t="s">
        <v>52</v>
      </c>
      <c r="K20" s="8"/>
      <c r="L20" s="9"/>
      <c r="M20" s="154"/>
      <c r="N20" s="10"/>
      <c r="Q20" s="47" t="s">
        <v>75</v>
      </c>
      <c r="U20" s="28" t="s">
        <v>104</v>
      </c>
      <c r="Y20" s="29" t="s">
        <v>105</v>
      </c>
    </row>
    <row r="21" spans="1:25" ht="28.5" customHeight="1" x14ac:dyDescent="0.25">
      <c r="A21" s="72" t="s">
        <v>29</v>
      </c>
      <c r="B21" s="80" t="s">
        <v>364</v>
      </c>
      <c r="C21" s="73">
        <v>44648</v>
      </c>
      <c r="D21" s="74" t="s">
        <v>56</v>
      </c>
      <c r="E21" s="74" t="s">
        <v>47</v>
      </c>
      <c r="F21" s="75" t="s">
        <v>365</v>
      </c>
      <c r="G21" s="76" t="s">
        <v>49</v>
      </c>
      <c r="H21" s="77" t="s">
        <v>366</v>
      </c>
      <c r="I21" s="78">
        <v>44648</v>
      </c>
      <c r="J21" s="79" t="s">
        <v>67</v>
      </c>
      <c r="K21" s="8"/>
      <c r="L21" s="9"/>
      <c r="M21" s="154"/>
      <c r="N21" s="10"/>
      <c r="Q21" s="64" t="s">
        <v>51</v>
      </c>
      <c r="U21" s="28" t="s">
        <v>108</v>
      </c>
      <c r="Y21" s="29" t="s">
        <v>49</v>
      </c>
    </row>
    <row r="22" spans="1:25" x14ac:dyDescent="0.25">
      <c r="A22" s="72" t="s">
        <v>29</v>
      </c>
      <c r="B22" s="80" t="s">
        <v>367</v>
      </c>
      <c r="C22" s="73"/>
      <c r="D22" s="74" t="s">
        <v>56</v>
      </c>
      <c r="E22" s="74" t="s">
        <v>69</v>
      </c>
      <c r="F22" s="75" t="s">
        <v>368</v>
      </c>
      <c r="G22" s="76" t="s">
        <v>49</v>
      </c>
      <c r="H22" s="77" t="s">
        <v>369</v>
      </c>
      <c r="I22" s="78"/>
      <c r="J22" s="79" t="s">
        <v>27</v>
      </c>
      <c r="K22" s="8"/>
      <c r="L22" s="9"/>
      <c r="M22" s="154"/>
      <c r="N22" s="10"/>
      <c r="U22" s="28" t="s">
        <v>112</v>
      </c>
      <c r="Y22" s="29" t="s">
        <v>113</v>
      </c>
    </row>
    <row r="23" spans="1:25" ht="21.75" customHeight="1" x14ac:dyDescent="0.25">
      <c r="A23" s="72" t="s">
        <v>29</v>
      </c>
      <c r="B23" s="80" t="s">
        <v>370</v>
      </c>
      <c r="C23" s="73">
        <v>44652</v>
      </c>
      <c r="D23" s="74" t="s">
        <v>56</v>
      </c>
      <c r="E23" s="74" t="s">
        <v>23</v>
      </c>
      <c r="F23" s="75" t="s">
        <v>371</v>
      </c>
      <c r="G23" s="76" t="s">
        <v>25</v>
      </c>
      <c r="H23" s="77" t="s">
        <v>372</v>
      </c>
      <c r="I23" s="78">
        <v>44656</v>
      </c>
      <c r="J23" s="79" t="s">
        <v>27</v>
      </c>
      <c r="K23" s="8"/>
      <c r="L23" s="9"/>
      <c r="M23" s="154"/>
      <c r="N23" s="10"/>
      <c r="Q23" s="53"/>
      <c r="U23" s="28"/>
      <c r="Y23" s="29" t="s">
        <v>118</v>
      </c>
    </row>
    <row r="24" spans="1:25" ht="27.75" customHeight="1" x14ac:dyDescent="0.25">
      <c r="A24" s="72" t="s">
        <v>29</v>
      </c>
      <c r="B24" s="80" t="s">
        <v>373</v>
      </c>
      <c r="C24" s="73">
        <v>44655</v>
      </c>
      <c r="D24" s="74" t="s">
        <v>56</v>
      </c>
      <c r="E24" s="74" t="s">
        <v>69</v>
      </c>
      <c r="F24" s="75" t="s">
        <v>374</v>
      </c>
      <c r="G24" s="76" t="s">
        <v>58</v>
      </c>
      <c r="H24" s="77" t="s">
        <v>167</v>
      </c>
      <c r="I24" s="78">
        <v>44655</v>
      </c>
      <c r="J24" s="79" t="s">
        <v>75</v>
      </c>
      <c r="K24" s="8"/>
      <c r="L24" s="9"/>
      <c r="M24" s="154"/>
      <c r="N24" s="10"/>
      <c r="Q24" s="53"/>
      <c r="Y24" s="29" t="s">
        <v>122</v>
      </c>
    </row>
    <row r="25" spans="1:25" x14ac:dyDescent="0.25">
      <c r="A25" s="72" t="s">
        <v>29</v>
      </c>
      <c r="B25" s="80" t="s">
        <v>375</v>
      </c>
      <c r="C25" s="73">
        <v>44659</v>
      </c>
      <c r="D25" s="74" t="s">
        <v>56</v>
      </c>
      <c r="E25" s="74" t="s">
        <v>23</v>
      </c>
      <c r="F25" s="75" t="s">
        <v>376</v>
      </c>
      <c r="G25" s="76" t="s">
        <v>97</v>
      </c>
      <c r="H25" s="77" t="s">
        <v>347</v>
      </c>
      <c r="I25" s="78">
        <v>44659</v>
      </c>
      <c r="J25" s="79" t="s">
        <v>67</v>
      </c>
      <c r="K25" s="8"/>
      <c r="L25" s="9"/>
      <c r="M25" s="154"/>
      <c r="N25" s="10"/>
      <c r="Q25" s="53"/>
      <c r="Y25" s="29" t="s">
        <v>127</v>
      </c>
    </row>
    <row r="26" spans="1:25" ht="31.5" customHeight="1" x14ac:dyDescent="0.25">
      <c r="A26" s="72" t="s">
        <v>29</v>
      </c>
      <c r="B26" s="80" t="s">
        <v>377</v>
      </c>
      <c r="C26" s="73">
        <v>44672</v>
      </c>
      <c r="D26" s="74" t="s">
        <v>56</v>
      </c>
      <c r="E26" s="74" t="s">
        <v>23</v>
      </c>
      <c r="F26" s="75" t="s">
        <v>378</v>
      </c>
      <c r="G26" s="76" t="s">
        <v>58</v>
      </c>
      <c r="H26" s="77" t="s">
        <v>379</v>
      </c>
      <c r="I26" s="78"/>
      <c r="J26" s="79" t="s">
        <v>75</v>
      </c>
      <c r="K26" s="8"/>
      <c r="L26" s="9"/>
      <c r="M26" s="154"/>
      <c r="N26" s="10"/>
      <c r="Q26" s="53"/>
      <c r="Y26" s="29" t="s">
        <v>131</v>
      </c>
    </row>
    <row r="27" spans="1:25" ht="28.5" customHeight="1" x14ac:dyDescent="0.25">
      <c r="A27" s="72" t="s">
        <v>29</v>
      </c>
      <c r="B27" s="80" t="s">
        <v>380</v>
      </c>
      <c r="C27" s="73">
        <v>44680</v>
      </c>
      <c r="D27" s="74" t="s">
        <v>56</v>
      </c>
      <c r="E27" s="74" t="s">
        <v>44</v>
      </c>
      <c r="F27" s="75" t="s">
        <v>381</v>
      </c>
      <c r="G27" s="76" t="s">
        <v>49</v>
      </c>
      <c r="H27" s="77" t="s">
        <v>382</v>
      </c>
      <c r="I27" s="78">
        <v>44680</v>
      </c>
      <c r="J27" s="79" t="s">
        <v>67</v>
      </c>
      <c r="K27" s="8"/>
      <c r="L27" s="9"/>
      <c r="M27" s="154"/>
      <c r="N27" s="10"/>
      <c r="Y27" s="29" t="s">
        <v>135</v>
      </c>
    </row>
    <row r="28" spans="1:25" ht="23.4" x14ac:dyDescent="0.25">
      <c r="A28" s="106" t="s">
        <v>20</v>
      </c>
      <c r="B28" s="107" t="s">
        <v>383</v>
      </c>
      <c r="C28" s="108">
        <v>44687</v>
      </c>
      <c r="D28" s="109" t="s">
        <v>22</v>
      </c>
      <c r="E28" s="109" t="s">
        <v>23</v>
      </c>
      <c r="F28" s="110" t="s">
        <v>384</v>
      </c>
      <c r="G28" s="111" t="s">
        <v>58</v>
      </c>
      <c r="H28" s="77" t="s">
        <v>385</v>
      </c>
      <c r="I28" s="113">
        <v>44693</v>
      </c>
      <c r="J28" s="114" t="s">
        <v>75</v>
      </c>
      <c r="K28" s="8"/>
      <c r="L28" s="9"/>
      <c r="M28" s="154"/>
      <c r="N28" s="10"/>
      <c r="Y28" s="29" t="s">
        <v>116</v>
      </c>
    </row>
    <row r="29" spans="1:25" x14ac:dyDescent="0.25">
      <c r="A29" s="72" t="s">
        <v>29</v>
      </c>
      <c r="B29" s="80" t="s">
        <v>386</v>
      </c>
      <c r="C29" s="73">
        <v>44708</v>
      </c>
      <c r="D29" s="74" t="s">
        <v>56</v>
      </c>
      <c r="E29" s="74" t="s">
        <v>69</v>
      </c>
      <c r="F29" s="75" t="s">
        <v>387</v>
      </c>
      <c r="G29" s="76" t="s">
        <v>25</v>
      </c>
      <c r="H29" s="77" t="s">
        <v>388</v>
      </c>
      <c r="I29" s="78"/>
      <c r="J29" s="79"/>
      <c r="K29" s="8"/>
      <c r="L29" s="9"/>
      <c r="M29" s="154"/>
      <c r="N29" s="10"/>
      <c r="Y29" s="29" t="s">
        <v>125</v>
      </c>
    </row>
    <row r="30" spans="1:25" ht="23.4" x14ac:dyDescent="0.25">
      <c r="A30" s="72" t="s">
        <v>42</v>
      </c>
      <c r="B30" s="80" t="s">
        <v>389</v>
      </c>
      <c r="C30" s="73">
        <v>1062022</v>
      </c>
      <c r="D30" s="74" t="s">
        <v>56</v>
      </c>
      <c r="E30" s="74" t="s">
        <v>69</v>
      </c>
      <c r="F30" s="75" t="s">
        <v>390</v>
      </c>
      <c r="G30" s="76" t="s">
        <v>37</v>
      </c>
      <c r="H30" s="77" t="s">
        <v>391</v>
      </c>
      <c r="I30" s="78">
        <v>1062022</v>
      </c>
      <c r="J30" s="79" t="s">
        <v>27</v>
      </c>
      <c r="K30" s="8"/>
      <c r="L30" s="9"/>
      <c r="M30" s="154"/>
      <c r="N30" s="10"/>
      <c r="Y30" s="29" t="s">
        <v>142</v>
      </c>
    </row>
    <row r="31" spans="1:25" ht="23.4" x14ac:dyDescent="0.25">
      <c r="A31" s="106" t="s">
        <v>29</v>
      </c>
      <c r="B31" s="107" t="s">
        <v>392</v>
      </c>
      <c r="C31" s="108">
        <v>44714</v>
      </c>
      <c r="D31" s="109" t="s">
        <v>56</v>
      </c>
      <c r="E31" s="109" t="s">
        <v>23</v>
      </c>
      <c r="F31" s="110" t="s">
        <v>393</v>
      </c>
      <c r="G31" s="111" t="s">
        <v>93</v>
      </c>
      <c r="H31" s="77" t="s">
        <v>267</v>
      </c>
      <c r="I31" s="78"/>
      <c r="J31" s="114" t="s">
        <v>75</v>
      </c>
      <c r="K31" s="8"/>
      <c r="L31" s="9"/>
      <c r="M31" s="154"/>
      <c r="N31" s="10"/>
      <c r="Y31" s="29" t="s">
        <v>144</v>
      </c>
    </row>
    <row r="32" spans="1:25" ht="23.4" x14ac:dyDescent="0.25">
      <c r="A32" s="106" t="s">
        <v>29</v>
      </c>
      <c r="B32" s="107" t="s">
        <v>394</v>
      </c>
      <c r="C32" s="108">
        <v>44714</v>
      </c>
      <c r="D32" s="109" t="s">
        <v>56</v>
      </c>
      <c r="E32" s="109" t="s">
        <v>23</v>
      </c>
      <c r="F32" s="75" t="s">
        <v>395</v>
      </c>
      <c r="G32" s="76" t="s">
        <v>25</v>
      </c>
      <c r="H32" s="77" t="s">
        <v>385</v>
      </c>
      <c r="I32" s="78"/>
      <c r="J32" s="114" t="s">
        <v>75</v>
      </c>
      <c r="K32" s="8"/>
      <c r="L32" s="9"/>
      <c r="M32" s="154"/>
      <c r="N32" s="10"/>
      <c r="Y32" s="29" t="s">
        <v>146</v>
      </c>
    </row>
    <row r="33" spans="1:25" ht="31.5" customHeight="1" x14ac:dyDescent="0.25">
      <c r="A33" s="106" t="s">
        <v>29</v>
      </c>
      <c r="B33" s="107" t="s">
        <v>396</v>
      </c>
      <c r="C33" s="73">
        <v>44720</v>
      </c>
      <c r="D33" s="109" t="s">
        <v>56</v>
      </c>
      <c r="E33" s="109" t="s">
        <v>23</v>
      </c>
      <c r="F33" s="75" t="s">
        <v>397</v>
      </c>
      <c r="G33" s="76" t="s">
        <v>25</v>
      </c>
      <c r="H33" s="76" t="s">
        <v>25</v>
      </c>
      <c r="I33" s="78"/>
      <c r="J33" s="79" t="s">
        <v>51</v>
      </c>
      <c r="K33" s="8"/>
      <c r="L33" s="9"/>
      <c r="M33" s="154"/>
      <c r="N33" s="10"/>
      <c r="Y33" s="29" t="s">
        <v>25</v>
      </c>
    </row>
    <row r="34" spans="1:25" ht="30" customHeight="1" x14ac:dyDescent="0.25">
      <c r="A34" s="72" t="s">
        <v>29</v>
      </c>
      <c r="B34" s="80" t="s">
        <v>398</v>
      </c>
      <c r="C34" s="73">
        <v>44721</v>
      </c>
      <c r="D34" s="74" t="s">
        <v>56</v>
      </c>
      <c r="E34" s="74" t="s">
        <v>23</v>
      </c>
      <c r="F34" s="75" t="s">
        <v>399</v>
      </c>
      <c r="G34" s="76" t="s">
        <v>49</v>
      </c>
      <c r="H34" s="77" t="s">
        <v>400</v>
      </c>
      <c r="I34" s="78">
        <v>44721</v>
      </c>
      <c r="J34" s="79" t="s">
        <v>67</v>
      </c>
      <c r="K34" s="8"/>
      <c r="L34" s="9"/>
      <c r="M34" s="154"/>
      <c r="N34" s="10"/>
    </row>
    <row r="35" spans="1:25" x14ac:dyDescent="0.25">
      <c r="A35" s="72" t="s">
        <v>29</v>
      </c>
      <c r="B35" s="80" t="s">
        <v>401</v>
      </c>
      <c r="C35" s="73">
        <v>44722</v>
      </c>
      <c r="D35" s="74" t="s">
        <v>56</v>
      </c>
      <c r="E35" s="74" t="s">
        <v>23</v>
      </c>
      <c r="F35" s="75" t="s">
        <v>402</v>
      </c>
      <c r="G35" s="76" t="s">
        <v>58</v>
      </c>
      <c r="H35" s="77" t="s">
        <v>279</v>
      </c>
      <c r="I35" s="78">
        <v>44722</v>
      </c>
      <c r="J35" s="79" t="s">
        <v>75</v>
      </c>
      <c r="K35" s="8"/>
      <c r="L35" s="9"/>
      <c r="M35" s="154"/>
      <c r="N35" s="10"/>
    </row>
    <row r="36" spans="1:25" x14ac:dyDescent="0.25">
      <c r="A36" s="72" t="s">
        <v>29</v>
      </c>
      <c r="B36" s="80" t="s">
        <v>403</v>
      </c>
      <c r="C36" s="73">
        <v>44725</v>
      </c>
      <c r="D36" s="74" t="s">
        <v>56</v>
      </c>
      <c r="E36" s="74" t="s">
        <v>23</v>
      </c>
      <c r="F36" s="75" t="s">
        <v>404</v>
      </c>
      <c r="G36" s="76" t="s">
        <v>58</v>
      </c>
      <c r="H36" s="77" t="s">
        <v>405</v>
      </c>
      <c r="I36" s="78">
        <v>44725</v>
      </c>
      <c r="J36" s="79" t="s">
        <v>75</v>
      </c>
      <c r="K36" s="8"/>
      <c r="L36" s="9"/>
      <c r="M36" s="154"/>
      <c r="N36" s="10"/>
    </row>
    <row r="37" spans="1:25" x14ac:dyDescent="0.25">
      <c r="A37" s="72" t="s">
        <v>29</v>
      </c>
      <c r="B37" s="80" t="s">
        <v>406</v>
      </c>
      <c r="C37" s="73">
        <v>44726</v>
      </c>
      <c r="D37" s="74" t="s">
        <v>56</v>
      </c>
      <c r="E37" s="74" t="s">
        <v>23</v>
      </c>
      <c r="F37" s="75" t="s">
        <v>407</v>
      </c>
      <c r="G37" s="76" t="s">
        <v>88</v>
      </c>
      <c r="H37" s="77">
        <v>360</v>
      </c>
      <c r="I37" s="78">
        <v>44727</v>
      </c>
      <c r="J37" s="79" t="s">
        <v>52</v>
      </c>
      <c r="K37" s="8"/>
      <c r="L37" s="9"/>
      <c r="M37" s="154"/>
      <c r="N37" s="10"/>
    </row>
    <row r="38" spans="1:25" ht="22.8" x14ac:dyDescent="0.25">
      <c r="A38" s="106" t="s">
        <v>29</v>
      </c>
      <c r="B38" s="107" t="s">
        <v>408</v>
      </c>
      <c r="C38" s="108">
        <v>44736</v>
      </c>
      <c r="D38" s="109" t="s">
        <v>56</v>
      </c>
      <c r="E38" s="109" t="s">
        <v>23</v>
      </c>
      <c r="F38" s="110" t="s">
        <v>409</v>
      </c>
      <c r="G38" s="111" t="s">
        <v>58</v>
      </c>
      <c r="H38" s="112" t="s">
        <v>54</v>
      </c>
      <c r="I38" s="113">
        <v>44736</v>
      </c>
      <c r="J38" s="114" t="s">
        <v>75</v>
      </c>
      <c r="K38" s="8"/>
      <c r="L38" s="9"/>
      <c r="M38" s="154"/>
      <c r="N38" s="10"/>
    </row>
    <row r="39" spans="1:25" x14ac:dyDescent="0.25">
      <c r="A39" s="72" t="s">
        <v>29</v>
      </c>
      <c r="B39" s="80" t="s">
        <v>410</v>
      </c>
      <c r="C39" s="73">
        <v>44740</v>
      </c>
      <c r="D39" s="109" t="s">
        <v>56</v>
      </c>
      <c r="E39" s="109" t="s">
        <v>23</v>
      </c>
      <c r="F39" s="75" t="s">
        <v>411</v>
      </c>
      <c r="G39" s="76" t="s">
        <v>58</v>
      </c>
      <c r="H39" s="77" t="s">
        <v>412</v>
      </c>
      <c r="I39" s="78">
        <v>44740</v>
      </c>
      <c r="J39" s="79" t="s">
        <v>75</v>
      </c>
      <c r="K39" s="8"/>
      <c r="L39" s="9"/>
      <c r="M39" s="154"/>
      <c r="N39" s="10"/>
    </row>
    <row r="40" spans="1:25" ht="26.25" customHeight="1" x14ac:dyDescent="0.25">
      <c r="A40" s="106" t="s">
        <v>29</v>
      </c>
      <c r="B40" s="107" t="s">
        <v>413</v>
      </c>
      <c r="C40" s="108">
        <v>44753</v>
      </c>
      <c r="D40" s="109" t="s">
        <v>56</v>
      </c>
      <c r="E40" s="109" t="s">
        <v>23</v>
      </c>
      <c r="F40" s="110" t="s">
        <v>414</v>
      </c>
      <c r="G40" s="111" t="s">
        <v>49</v>
      </c>
      <c r="H40" s="112" t="s">
        <v>415</v>
      </c>
      <c r="I40" s="113">
        <v>44753</v>
      </c>
      <c r="J40" s="114" t="s">
        <v>75</v>
      </c>
      <c r="K40" s="8"/>
      <c r="L40" s="9"/>
      <c r="M40" s="154"/>
      <c r="N40" s="10"/>
    </row>
    <row r="41" spans="1:25" ht="30.75" customHeight="1" x14ac:dyDescent="0.25">
      <c r="A41" s="106" t="s">
        <v>29</v>
      </c>
      <c r="B41" s="107" t="s">
        <v>416</v>
      </c>
      <c r="C41" s="108">
        <v>44753</v>
      </c>
      <c r="D41" s="109" t="s">
        <v>56</v>
      </c>
      <c r="E41" s="109" t="s">
        <v>23</v>
      </c>
      <c r="F41" s="110" t="s">
        <v>417</v>
      </c>
      <c r="G41" s="111" t="s">
        <v>58</v>
      </c>
      <c r="H41" s="112" t="s">
        <v>54</v>
      </c>
      <c r="I41" s="113">
        <v>44753</v>
      </c>
      <c r="J41" s="114" t="s">
        <v>75</v>
      </c>
      <c r="K41" s="8"/>
      <c r="L41" s="9"/>
      <c r="M41" s="154"/>
      <c r="N41" s="10"/>
    </row>
    <row r="42" spans="1:25" ht="26.25" customHeight="1" x14ac:dyDescent="0.25">
      <c r="A42" s="72" t="s">
        <v>29</v>
      </c>
      <c r="B42" s="80" t="s">
        <v>418</v>
      </c>
      <c r="C42" s="73">
        <v>44760</v>
      </c>
      <c r="D42" s="74" t="s">
        <v>22</v>
      </c>
      <c r="E42" s="74" t="s">
        <v>23</v>
      </c>
      <c r="F42" s="75" t="s">
        <v>419</v>
      </c>
      <c r="G42" s="76" t="s">
        <v>58</v>
      </c>
      <c r="H42" s="77" t="s">
        <v>420</v>
      </c>
      <c r="I42" s="78">
        <v>44761</v>
      </c>
      <c r="J42" s="114" t="s">
        <v>75</v>
      </c>
      <c r="K42" s="8"/>
      <c r="L42" s="9"/>
      <c r="M42" s="154"/>
      <c r="N42" s="10"/>
    </row>
    <row r="43" spans="1:25" ht="24" customHeight="1" x14ac:dyDescent="0.25">
      <c r="A43" s="72" t="s">
        <v>29</v>
      </c>
      <c r="B43" s="80" t="s">
        <v>421</v>
      </c>
      <c r="C43" s="73">
        <v>44762</v>
      </c>
      <c r="D43" s="74" t="s">
        <v>56</v>
      </c>
      <c r="E43" s="74" t="s">
        <v>23</v>
      </c>
      <c r="F43" s="75" t="s">
        <v>422</v>
      </c>
      <c r="G43" s="76" t="s">
        <v>58</v>
      </c>
      <c r="H43" s="77" t="s">
        <v>423</v>
      </c>
      <c r="I43" s="78">
        <v>44762</v>
      </c>
      <c r="J43" s="79" t="s">
        <v>52</v>
      </c>
      <c r="K43" s="8"/>
      <c r="L43" s="9"/>
      <c r="M43" s="154"/>
      <c r="N43" s="10"/>
    </row>
    <row r="44" spans="1:25" ht="27" customHeight="1" x14ac:dyDescent="0.25">
      <c r="A44" s="72" t="s">
        <v>29</v>
      </c>
      <c r="B44" s="80" t="s">
        <v>424</v>
      </c>
      <c r="C44" s="73">
        <v>44777</v>
      </c>
      <c r="D44" s="74" t="s">
        <v>56</v>
      </c>
      <c r="E44" s="74"/>
      <c r="F44" s="75" t="s">
        <v>425</v>
      </c>
      <c r="G44" s="76"/>
      <c r="H44" s="77"/>
      <c r="I44" s="78"/>
      <c r="J44" s="79"/>
      <c r="K44" s="8"/>
      <c r="L44" s="9"/>
      <c r="M44" s="154"/>
      <c r="N44" s="10"/>
    </row>
    <row r="45" spans="1:25" ht="35.25" customHeight="1" x14ac:dyDescent="0.25">
      <c r="A45" s="72" t="s">
        <v>29</v>
      </c>
      <c r="B45" s="80" t="s">
        <v>426</v>
      </c>
      <c r="C45" s="73">
        <v>44777</v>
      </c>
      <c r="D45" s="74" t="s">
        <v>56</v>
      </c>
      <c r="E45" s="74" t="s">
        <v>23</v>
      </c>
      <c r="F45" s="75" t="s">
        <v>427</v>
      </c>
      <c r="G45" s="76" t="s">
        <v>58</v>
      </c>
      <c r="H45" s="77" t="s">
        <v>270</v>
      </c>
      <c r="I45" s="78">
        <v>44777</v>
      </c>
      <c r="J45" s="79" t="s">
        <v>75</v>
      </c>
      <c r="K45" s="8"/>
      <c r="L45" s="9"/>
      <c r="M45" s="154"/>
      <c r="N45" s="10"/>
    </row>
    <row r="46" spans="1:25" ht="34.799999999999997" x14ac:dyDescent="0.25">
      <c r="A46" s="72" t="s">
        <v>29</v>
      </c>
      <c r="B46" s="80" t="s">
        <v>428</v>
      </c>
      <c r="C46" s="73">
        <v>44799</v>
      </c>
      <c r="D46" s="74" t="s">
        <v>56</v>
      </c>
      <c r="E46" s="74" t="s">
        <v>47</v>
      </c>
      <c r="F46" s="75" t="s">
        <v>429</v>
      </c>
      <c r="G46" s="76" t="s">
        <v>116</v>
      </c>
      <c r="H46" s="77" t="s">
        <v>111</v>
      </c>
      <c r="I46" s="78">
        <v>44809</v>
      </c>
      <c r="J46" s="79" t="s">
        <v>41</v>
      </c>
      <c r="K46" s="8"/>
      <c r="L46" s="9"/>
      <c r="M46" s="154"/>
      <c r="N46" s="10"/>
    </row>
    <row r="47" spans="1:25" ht="23.4" x14ac:dyDescent="0.25">
      <c r="A47" s="72" t="s">
        <v>29</v>
      </c>
      <c r="B47" s="80" t="s">
        <v>430</v>
      </c>
      <c r="C47" s="73">
        <v>44804</v>
      </c>
      <c r="D47" s="74" t="s">
        <v>56</v>
      </c>
      <c r="E47" s="74" t="s">
        <v>47</v>
      </c>
      <c r="F47" s="75" t="s">
        <v>431</v>
      </c>
      <c r="G47" s="76" t="s">
        <v>88</v>
      </c>
      <c r="H47" s="77" t="s">
        <v>432</v>
      </c>
      <c r="I47" s="78">
        <v>44805</v>
      </c>
      <c r="J47" s="79" t="s">
        <v>52</v>
      </c>
      <c r="K47" s="8"/>
      <c r="L47" s="9"/>
      <c r="M47" s="154"/>
      <c r="N47" s="10"/>
    </row>
    <row r="48" spans="1:25" x14ac:dyDescent="0.25">
      <c r="A48" s="72" t="s">
        <v>29</v>
      </c>
      <c r="B48" s="80" t="s">
        <v>433</v>
      </c>
      <c r="C48" s="73">
        <v>44805</v>
      </c>
      <c r="D48" s="74" t="s">
        <v>61</v>
      </c>
      <c r="E48" s="74" t="s">
        <v>44</v>
      </c>
      <c r="F48" s="75" t="s">
        <v>434</v>
      </c>
      <c r="G48" s="76" t="s">
        <v>49</v>
      </c>
      <c r="H48" s="77" t="s">
        <v>435</v>
      </c>
      <c r="I48" s="78">
        <v>44805</v>
      </c>
      <c r="J48" s="79" t="s">
        <v>67</v>
      </c>
      <c r="K48" s="8"/>
      <c r="L48" s="9"/>
      <c r="M48" s="154"/>
      <c r="N48" s="10"/>
    </row>
    <row r="49" spans="1:14" ht="23.4" x14ac:dyDescent="0.25">
      <c r="A49" s="72" t="s">
        <v>29</v>
      </c>
      <c r="B49" s="80" t="s">
        <v>436</v>
      </c>
      <c r="C49" s="73">
        <v>44805</v>
      </c>
      <c r="D49" s="74" t="s">
        <v>56</v>
      </c>
      <c r="E49" s="74" t="s">
        <v>23</v>
      </c>
      <c r="F49" s="75" t="s">
        <v>437</v>
      </c>
      <c r="G49" s="76" t="s">
        <v>131</v>
      </c>
      <c r="H49" s="77" t="s">
        <v>270</v>
      </c>
      <c r="I49" s="78"/>
      <c r="J49" s="79" t="s">
        <v>52</v>
      </c>
      <c r="K49" s="8"/>
      <c r="L49" s="9"/>
      <c r="M49" s="154"/>
      <c r="N49" s="10"/>
    </row>
    <row r="50" spans="1:14" ht="34.799999999999997" x14ac:dyDescent="0.25">
      <c r="A50" s="72" t="s">
        <v>20</v>
      </c>
      <c r="B50" s="80" t="s">
        <v>438</v>
      </c>
      <c r="C50" s="73">
        <v>44809</v>
      </c>
      <c r="D50" s="74" t="s">
        <v>56</v>
      </c>
      <c r="E50" s="74" t="s">
        <v>47</v>
      </c>
      <c r="F50" s="75" t="s">
        <v>439</v>
      </c>
      <c r="G50" s="76" t="s">
        <v>116</v>
      </c>
      <c r="H50" s="77" t="s">
        <v>111</v>
      </c>
      <c r="I50" s="78">
        <v>44809</v>
      </c>
      <c r="J50" s="79" t="s">
        <v>41</v>
      </c>
      <c r="K50" s="8"/>
      <c r="L50" s="9"/>
      <c r="M50" s="154"/>
      <c r="N50" s="10"/>
    </row>
    <row r="51" spans="1:14" ht="33.75" customHeight="1" x14ac:dyDescent="0.25">
      <c r="A51" s="72" t="s">
        <v>29</v>
      </c>
      <c r="B51" s="80" t="s">
        <v>440</v>
      </c>
      <c r="C51" s="73"/>
      <c r="D51" s="74" t="s">
        <v>56</v>
      </c>
      <c r="E51" s="74" t="s">
        <v>69</v>
      </c>
      <c r="F51" s="75" t="s">
        <v>441</v>
      </c>
      <c r="G51" s="76" t="s">
        <v>58</v>
      </c>
      <c r="H51" s="77" t="s">
        <v>270</v>
      </c>
      <c r="I51" s="78">
        <v>45100</v>
      </c>
      <c r="J51" s="79" t="s">
        <v>27</v>
      </c>
      <c r="K51" s="8"/>
      <c r="L51" s="9"/>
      <c r="M51" s="154"/>
      <c r="N51" s="10"/>
    </row>
    <row r="52" spans="1:14" x14ac:dyDescent="0.25">
      <c r="A52" s="72" t="s">
        <v>29</v>
      </c>
      <c r="B52" s="80" t="s">
        <v>442</v>
      </c>
      <c r="C52" s="73">
        <v>44816</v>
      </c>
      <c r="D52" s="74" t="s">
        <v>56</v>
      </c>
      <c r="E52" s="74" t="s">
        <v>44</v>
      </c>
      <c r="F52" s="75" t="s">
        <v>443</v>
      </c>
      <c r="G52" s="76" t="s">
        <v>58</v>
      </c>
      <c r="H52" s="77" t="s">
        <v>344</v>
      </c>
      <c r="I52" s="78"/>
      <c r="J52" s="79"/>
      <c r="K52" s="8"/>
      <c r="L52" s="9"/>
      <c r="M52" s="154"/>
      <c r="N52" s="10"/>
    </row>
    <row r="53" spans="1:14" x14ac:dyDescent="0.25">
      <c r="A53" s="72" t="s">
        <v>29</v>
      </c>
      <c r="B53" s="80" t="s">
        <v>444</v>
      </c>
      <c r="C53" s="73">
        <v>44819</v>
      </c>
      <c r="D53" s="74" t="s">
        <v>56</v>
      </c>
      <c r="E53" s="74" t="s">
        <v>47</v>
      </c>
      <c r="F53" s="75" t="s">
        <v>445</v>
      </c>
      <c r="G53" s="76" t="s">
        <v>49</v>
      </c>
      <c r="H53" s="77" t="s">
        <v>446</v>
      </c>
      <c r="I53" s="78">
        <v>44819</v>
      </c>
      <c r="J53" s="79" t="s">
        <v>67</v>
      </c>
      <c r="K53" s="8"/>
      <c r="L53" s="9"/>
      <c r="M53" s="154"/>
      <c r="N53" s="10"/>
    </row>
    <row r="54" spans="1:14" x14ac:dyDescent="0.25">
      <c r="A54" s="72" t="s">
        <v>29</v>
      </c>
      <c r="B54" s="80" t="s">
        <v>447</v>
      </c>
      <c r="C54" s="73">
        <v>44819</v>
      </c>
      <c r="D54" s="74" t="s">
        <v>22</v>
      </c>
      <c r="E54" s="74" t="s">
        <v>23</v>
      </c>
      <c r="F54" s="75" t="s">
        <v>448</v>
      </c>
      <c r="G54" s="76" t="s">
        <v>58</v>
      </c>
      <c r="H54" s="77" t="s">
        <v>54</v>
      </c>
      <c r="I54" s="78">
        <v>44823</v>
      </c>
      <c r="J54" s="79" t="s">
        <v>75</v>
      </c>
      <c r="K54" s="8"/>
      <c r="L54" s="9"/>
      <c r="M54" s="154"/>
      <c r="N54" s="10"/>
    </row>
    <row r="55" spans="1:14" ht="19.5" customHeight="1" x14ac:dyDescent="0.25">
      <c r="A55" s="72" t="s">
        <v>29</v>
      </c>
      <c r="B55" s="80" t="s">
        <v>449</v>
      </c>
      <c r="C55" s="73">
        <v>44827</v>
      </c>
      <c r="D55" s="74" t="s">
        <v>22</v>
      </c>
      <c r="E55" s="74" t="s">
        <v>23</v>
      </c>
      <c r="F55" s="75" t="s">
        <v>450</v>
      </c>
      <c r="G55" s="76" t="s">
        <v>58</v>
      </c>
      <c r="H55" s="77" t="s">
        <v>167</v>
      </c>
      <c r="I55" s="78">
        <v>44827</v>
      </c>
      <c r="J55" s="79" t="s">
        <v>75</v>
      </c>
      <c r="K55" s="8">
        <f>+M55/90</f>
        <v>1189.4579000000001</v>
      </c>
      <c r="L55" s="9">
        <v>90</v>
      </c>
      <c r="M55" s="154">
        <f>7.078*90*168.05</f>
        <v>107051.21100000001</v>
      </c>
      <c r="N55" s="10"/>
    </row>
    <row r="56" spans="1:14" x14ac:dyDescent="0.25">
      <c r="A56" s="72" t="s">
        <v>29</v>
      </c>
      <c r="B56" s="80" t="s">
        <v>451</v>
      </c>
      <c r="C56" s="73">
        <v>44827</v>
      </c>
      <c r="D56" s="74" t="s">
        <v>22</v>
      </c>
      <c r="E56" s="74" t="s">
        <v>23</v>
      </c>
      <c r="F56" s="75" t="s">
        <v>452</v>
      </c>
      <c r="G56" s="76" t="s">
        <v>58</v>
      </c>
      <c r="H56" s="77" t="s">
        <v>54</v>
      </c>
      <c r="I56" s="78">
        <v>44827</v>
      </c>
      <c r="J56" s="79" t="s">
        <v>75</v>
      </c>
      <c r="K56" s="8"/>
      <c r="L56" s="9"/>
      <c r="M56" s="154"/>
      <c r="N56" s="10"/>
    </row>
    <row r="57" spans="1:14" x14ac:dyDescent="0.25">
      <c r="A57" s="72" t="s">
        <v>29</v>
      </c>
      <c r="B57" s="80" t="s">
        <v>453</v>
      </c>
      <c r="C57" s="73">
        <v>44827</v>
      </c>
      <c r="D57" s="74" t="s">
        <v>22</v>
      </c>
      <c r="E57" s="74" t="s">
        <v>23</v>
      </c>
      <c r="F57" s="75" t="s">
        <v>454</v>
      </c>
      <c r="G57" s="76" t="s">
        <v>58</v>
      </c>
      <c r="H57" s="77" t="s">
        <v>54</v>
      </c>
      <c r="I57" s="78">
        <v>44827</v>
      </c>
      <c r="J57" s="79" t="s">
        <v>75</v>
      </c>
      <c r="K57" s="8"/>
      <c r="L57" s="9"/>
      <c r="M57" s="154"/>
      <c r="N57" s="10"/>
    </row>
    <row r="58" spans="1:14" x14ac:dyDescent="0.25">
      <c r="A58" s="72" t="s">
        <v>29</v>
      </c>
      <c r="B58" s="80" t="s">
        <v>455</v>
      </c>
      <c r="C58" s="73">
        <v>44832</v>
      </c>
      <c r="D58" s="74" t="s">
        <v>61</v>
      </c>
      <c r="E58" s="74" t="s">
        <v>23</v>
      </c>
      <c r="F58" s="75" t="s">
        <v>456</v>
      </c>
      <c r="G58" s="76" t="s">
        <v>58</v>
      </c>
      <c r="H58" s="77" t="s">
        <v>276</v>
      </c>
      <c r="I58" s="78">
        <v>44834</v>
      </c>
      <c r="J58" s="79" t="s">
        <v>75</v>
      </c>
      <c r="K58" s="8"/>
      <c r="L58" s="9"/>
      <c r="M58" s="154"/>
      <c r="N58" s="10"/>
    </row>
    <row r="59" spans="1:14" x14ac:dyDescent="0.25">
      <c r="A59" s="72" t="s">
        <v>29</v>
      </c>
      <c r="B59" s="80" t="s">
        <v>457</v>
      </c>
      <c r="C59" s="73">
        <v>44833</v>
      </c>
      <c r="D59" s="74" t="s">
        <v>56</v>
      </c>
      <c r="E59" s="74" t="s">
        <v>44</v>
      </c>
      <c r="F59" s="75" t="s">
        <v>458</v>
      </c>
      <c r="G59" s="76" t="s">
        <v>25</v>
      </c>
      <c r="H59" s="77" t="s">
        <v>388</v>
      </c>
      <c r="I59" s="78"/>
      <c r="J59" s="79" t="s">
        <v>51</v>
      </c>
      <c r="K59" s="8"/>
      <c r="L59" s="9"/>
      <c r="M59" s="154"/>
      <c r="N59" s="10"/>
    </row>
    <row r="60" spans="1:14" x14ac:dyDescent="0.25">
      <c r="A60" s="72" t="s">
        <v>29</v>
      </c>
      <c r="B60" s="80" t="s">
        <v>459</v>
      </c>
      <c r="C60" s="73">
        <v>44818</v>
      </c>
      <c r="D60" s="74" t="s">
        <v>22</v>
      </c>
      <c r="E60" s="74" t="s">
        <v>23</v>
      </c>
      <c r="F60" s="75" t="s">
        <v>460</v>
      </c>
      <c r="G60" s="76" t="s">
        <v>58</v>
      </c>
      <c r="H60" s="77" t="s">
        <v>167</v>
      </c>
      <c r="I60" s="78">
        <v>44848</v>
      </c>
      <c r="J60" s="79" t="s">
        <v>75</v>
      </c>
      <c r="K60" s="8"/>
      <c r="L60" s="9"/>
      <c r="M60" s="154"/>
      <c r="N60" s="10"/>
    </row>
    <row r="61" spans="1:14" ht="30.75" customHeight="1" x14ac:dyDescent="0.25">
      <c r="A61" s="72" t="s">
        <v>29</v>
      </c>
      <c r="B61" s="80" t="s">
        <v>461</v>
      </c>
      <c r="C61" s="73">
        <v>44852</v>
      </c>
      <c r="D61" s="74" t="s">
        <v>56</v>
      </c>
      <c r="E61" s="74" t="s">
        <v>47</v>
      </c>
      <c r="F61" s="75" t="s">
        <v>462</v>
      </c>
      <c r="G61" s="76" t="s">
        <v>49</v>
      </c>
      <c r="H61" s="77" t="s">
        <v>446</v>
      </c>
      <c r="I61" s="78"/>
      <c r="J61" s="79" t="s">
        <v>67</v>
      </c>
      <c r="K61" s="8"/>
      <c r="L61" s="9"/>
      <c r="M61" s="154"/>
      <c r="N61" s="10"/>
    </row>
    <row r="62" spans="1:14" ht="26.25" customHeight="1" x14ac:dyDescent="0.25">
      <c r="A62" s="72" t="s">
        <v>29</v>
      </c>
      <c r="B62" s="80" t="s">
        <v>463</v>
      </c>
      <c r="C62" s="73">
        <v>44853</v>
      </c>
      <c r="D62" s="74" t="s">
        <v>22</v>
      </c>
      <c r="E62" s="74" t="s">
        <v>47</v>
      </c>
      <c r="F62" s="75" t="s">
        <v>464</v>
      </c>
      <c r="G62" s="76" t="s">
        <v>88</v>
      </c>
      <c r="H62" s="77" t="s">
        <v>465</v>
      </c>
      <c r="I62" s="78"/>
      <c r="J62" s="79" t="s">
        <v>41</v>
      </c>
      <c r="K62" s="8"/>
      <c r="L62" s="9"/>
      <c r="M62" s="154"/>
      <c r="N62" s="10"/>
    </row>
    <row r="63" spans="1:14" ht="23.4" x14ac:dyDescent="0.25">
      <c r="A63" s="72" t="s">
        <v>29</v>
      </c>
      <c r="B63" s="80" t="s">
        <v>466</v>
      </c>
      <c r="C63" s="73">
        <v>44855</v>
      </c>
      <c r="D63" s="74" t="s">
        <v>43</v>
      </c>
      <c r="E63" s="74" t="s">
        <v>44</v>
      </c>
      <c r="F63" s="75" t="s">
        <v>467</v>
      </c>
      <c r="G63" s="76" t="s">
        <v>58</v>
      </c>
      <c r="H63" s="77" t="s">
        <v>213</v>
      </c>
      <c r="I63" s="78">
        <v>44855</v>
      </c>
      <c r="J63" s="79" t="s">
        <v>27</v>
      </c>
      <c r="K63" s="8"/>
      <c r="L63" s="9"/>
      <c r="M63" s="154"/>
      <c r="N63" s="10"/>
    </row>
    <row r="64" spans="1:14" ht="24" customHeight="1" x14ac:dyDescent="0.25">
      <c r="A64" s="72" t="s">
        <v>29</v>
      </c>
      <c r="B64" s="80" t="s">
        <v>468</v>
      </c>
      <c r="C64" s="73">
        <v>44868</v>
      </c>
      <c r="D64" s="74" t="s">
        <v>56</v>
      </c>
      <c r="E64" s="74" t="s">
        <v>47</v>
      </c>
      <c r="F64" s="75" t="s">
        <v>469</v>
      </c>
      <c r="G64" s="76" t="s">
        <v>116</v>
      </c>
      <c r="H64" s="77" t="s">
        <v>167</v>
      </c>
      <c r="I64" s="78"/>
      <c r="J64" s="79" t="s">
        <v>41</v>
      </c>
      <c r="K64" s="8"/>
      <c r="L64" s="9"/>
      <c r="M64" s="154"/>
      <c r="N64" s="10"/>
    </row>
    <row r="65" spans="1:14" s="102" customFormat="1" ht="38.25" customHeight="1" x14ac:dyDescent="0.2">
      <c r="A65" s="72" t="s">
        <v>29</v>
      </c>
      <c r="B65" s="80" t="s">
        <v>470</v>
      </c>
      <c r="C65" s="73">
        <v>44888</v>
      </c>
      <c r="D65" s="74" t="s">
        <v>56</v>
      </c>
      <c r="E65" s="74" t="s">
        <v>47</v>
      </c>
      <c r="F65" s="75" t="s">
        <v>471</v>
      </c>
      <c r="G65" s="76" t="s">
        <v>25</v>
      </c>
      <c r="H65" s="77" t="s">
        <v>167</v>
      </c>
      <c r="I65" s="78"/>
      <c r="J65" s="79" t="s">
        <v>52</v>
      </c>
      <c r="K65" s="8"/>
      <c r="L65" s="9"/>
      <c r="M65" s="154"/>
      <c r="N65" s="10"/>
    </row>
    <row r="66" spans="1:14" ht="27.75" customHeight="1" x14ac:dyDescent="0.25">
      <c r="A66" s="72" t="s">
        <v>20</v>
      </c>
      <c r="B66" s="80" t="s">
        <v>754</v>
      </c>
      <c r="C66" s="73">
        <v>44753</v>
      </c>
      <c r="D66" s="74" t="s">
        <v>56</v>
      </c>
      <c r="E66" s="74" t="s">
        <v>47</v>
      </c>
      <c r="F66" s="75" t="s">
        <v>472</v>
      </c>
      <c r="G66" s="76" t="s">
        <v>25</v>
      </c>
      <c r="H66" s="77" t="s">
        <v>167</v>
      </c>
      <c r="I66" s="78">
        <v>44902</v>
      </c>
      <c r="J66" s="79" t="s">
        <v>75</v>
      </c>
      <c r="K66" s="8"/>
      <c r="L66" s="9"/>
      <c r="M66" s="154"/>
      <c r="N66" s="10"/>
    </row>
    <row r="67" spans="1:14" ht="27" customHeight="1" x14ac:dyDescent="0.25">
      <c r="A67" s="72"/>
      <c r="B67" s="80" t="s">
        <v>151</v>
      </c>
      <c r="C67" s="73"/>
      <c r="D67" s="74"/>
      <c r="E67" s="74"/>
      <c r="F67" s="75"/>
      <c r="G67" s="76"/>
      <c r="H67" s="77"/>
      <c r="I67" s="78"/>
      <c r="J67" s="79"/>
      <c r="K67" s="8"/>
      <c r="L67" s="9"/>
      <c r="M67" s="154"/>
      <c r="N67" s="10"/>
    </row>
    <row r="68" spans="1:14" x14ac:dyDescent="0.25">
      <c r="A68" s="72"/>
      <c r="B68" s="80" t="s">
        <v>154</v>
      </c>
      <c r="C68" s="73"/>
      <c r="D68" s="74"/>
      <c r="E68" s="74"/>
      <c r="F68" s="75"/>
      <c r="G68" s="76"/>
      <c r="H68" s="77"/>
      <c r="I68" s="78"/>
      <c r="J68" s="79"/>
      <c r="K68" s="8"/>
      <c r="L68" s="9"/>
      <c r="M68" s="154"/>
      <c r="N68" s="10"/>
    </row>
    <row r="69" spans="1:14" x14ac:dyDescent="0.25">
      <c r="A69" s="72"/>
      <c r="B69" s="80" t="s">
        <v>157</v>
      </c>
      <c r="C69" s="73"/>
      <c r="D69" s="74"/>
      <c r="E69" s="74"/>
      <c r="F69" s="75"/>
      <c r="G69" s="76"/>
      <c r="H69" s="77"/>
      <c r="I69" s="78"/>
      <c r="J69" s="79"/>
      <c r="K69" s="8"/>
      <c r="L69" s="9"/>
      <c r="M69" s="154"/>
      <c r="N69" s="10"/>
    </row>
    <row r="70" spans="1:14" ht="30" customHeight="1" x14ac:dyDescent="0.25">
      <c r="A70" s="72"/>
      <c r="B70" s="80" t="s">
        <v>161</v>
      </c>
      <c r="C70" s="73"/>
      <c r="D70" s="74"/>
      <c r="E70" s="74"/>
      <c r="F70" s="75"/>
      <c r="G70" s="76"/>
      <c r="H70" s="77"/>
      <c r="I70" s="78"/>
      <c r="J70" s="79"/>
      <c r="K70" s="8"/>
      <c r="L70" s="9"/>
      <c r="M70" s="154"/>
      <c r="N70" s="10"/>
    </row>
    <row r="71" spans="1:14" ht="27.75" customHeight="1" x14ac:dyDescent="0.25">
      <c r="A71" s="72"/>
      <c r="B71" s="80" t="s">
        <v>473</v>
      </c>
      <c r="C71" s="73"/>
      <c r="D71" s="74"/>
      <c r="E71" s="74"/>
      <c r="F71" s="75"/>
      <c r="G71" s="76"/>
      <c r="H71" s="77"/>
      <c r="I71" s="78"/>
      <c r="J71" s="79"/>
      <c r="K71" s="8"/>
      <c r="L71" s="9"/>
      <c r="M71" s="154"/>
      <c r="N71" s="10"/>
    </row>
    <row r="72" spans="1:14" x14ac:dyDescent="0.25">
      <c r="A72" s="72"/>
      <c r="B72" s="80" t="s">
        <v>164</v>
      </c>
      <c r="C72" s="73"/>
      <c r="D72" s="74"/>
      <c r="E72" s="74"/>
      <c r="F72" s="75"/>
      <c r="G72" s="76"/>
      <c r="H72" s="77"/>
      <c r="I72" s="78"/>
      <c r="J72" s="79"/>
      <c r="K72" s="8"/>
      <c r="L72" s="9"/>
      <c r="M72" s="154"/>
      <c r="N72" s="10"/>
    </row>
    <row r="73" spans="1:14" ht="23.25" customHeight="1" x14ac:dyDescent="0.25">
      <c r="A73" s="72"/>
      <c r="B73" s="80" t="s">
        <v>165</v>
      </c>
      <c r="C73" s="73"/>
      <c r="D73" s="74"/>
      <c r="E73" s="74"/>
      <c r="F73" s="75"/>
      <c r="G73" s="76"/>
      <c r="H73" s="77"/>
      <c r="I73" s="78"/>
      <c r="J73" s="79"/>
      <c r="K73" s="8"/>
      <c r="L73" s="9"/>
      <c r="M73" s="154"/>
      <c r="N73" s="10"/>
    </row>
    <row r="74" spans="1:14" x14ac:dyDescent="0.25">
      <c r="A74" s="72"/>
      <c r="B74" s="80" t="s">
        <v>168</v>
      </c>
      <c r="C74" s="73"/>
      <c r="D74" s="74"/>
      <c r="E74" s="74"/>
      <c r="F74" s="75"/>
      <c r="G74" s="76"/>
      <c r="H74" s="77"/>
      <c r="I74" s="78"/>
      <c r="J74" s="79"/>
      <c r="K74" s="8"/>
      <c r="L74" s="9"/>
      <c r="M74" s="154"/>
      <c r="N74" s="10"/>
    </row>
    <row r="75" spans="1:14" ht="26.25" customHeight="1" x14ac:dyDescent="0.25">
      <c r="A75" s="72"/>
      <c r="B75" s="80" t="s">
        <v>170</v>
      </c>
      <c r="C75" s="73"/>
      <c r="D75" s="74"/>
      <c r="E75" s="74"/>
      <c r="F75" s="75"/>
      <c r="G75" s="76"/>
      <c r="H75" s="77"/>
      <c r="I75" s="78"/>
      <c r="J75" s="79"/>
      <c r="K75" s="8"/>
      <c r="L75" s="9"/>
      <c r="M75" s="154"/>
      <c r="N75" s="10"/>
    </row>
    <row r="76" spans="1:14" x14ac:dyDescent="0.25">
      <c r="A76" s="72"/>
      <c r="B76" s="80" t="s">
        <v>172</v>
      </c>
      <c r="C76" s="73"/>
      <c r="D76" s="74"/>
      <c r="E76" s="74"/>
      <c r="F76" s="75"/>
      <c r="G76" s="76"/>
      <c r="H76" s="77"/>
      <c r="I76" s="78"/>
      <c r="J76" s="79"/>
      <c r="K76" s="8"/>
      <c r="L76" s="9"/>
      <c r="M76" s="154"/>
      <c r="N76" s="10"/>
    </row>
    <row r="77" spans="1:14" ht="26.25" customHeight="1" x14ac:dyDescent="0.25">
      <c r="A77" s="72"/>
      <c r="B77" s="80" t="s">
        <v>174</v>
      </c>
      <c r="C77" s="73"/>
      <c r="D77" s="74"/>
      <c r="E77" s="74"/>
      <c r="F77" s="75"/>
      <c r="G77" s="76"/>
      <c r="H77" s="77"/>
      <c r="I77" s="78"/>
      <c r="J77" s="79"/>
      <c r="K77" s="8"/>
      <c r="L77" s="9"/>
      <c r="M77" s="154"/>
      <c r="N77" s="10"/>
    </row>
    <row r="78" spans="1:14" x14ac:dyDescent="0.25">
      <c r="A78" s="72"/>
      <c r="B78" s="80" t="s">
        <v>175</v>
      </c>
      <c r="C78" s="73"/>
      <c r="D78" s="74"/>
      <c r="E78" s="74"/>
      <c r="F78" s="75"/>
      <c r="G78" s="76"/>
      <c r="H78" s="77"/>
      <c r="I78" s="78"/>
      <c r="J78" s="79"/>
      <c r="K78" s="8"/>
      <c r="L78" s="9"/>
      <c r="M78" s="154"/>
      <c r="N78" s="10"/>
    </row>
    <row r="79" spans="1:14" s="68" customFormat="1" ht="33.75" customHeight="1" x14ac:dyDescent="0.2">
      <c r="A79" s="72"/>
      <c r="B79" s="80" t="s">
        <v>177</v>
      </c>
      <c r="C79" s="73"/>
      <c r="D79" s="74"/>
      <c r="E79" s="74"/>
      <c r="F79" s="75"/>
      <c r="G79" s="76"/>
      <c r="H79" s="77"/>
      <c r="I79" s="78"/>
      <c r="J79" s="79"/>
      <c r="K79" s="8"/>
      <c r="L79" s="9"/>
      <c r="M79" s="154"/>
      <c r="N79" s="10"/>
    </row>
    <row r="80" spans="1:14" ht="26.25" customHeight="1" x14ac:dyDescent="0.25">
      <c r="A80" s="72"/>
      <c r="B80" s="80" t="s">
        <v>180</v>
      </c>
      <c r="C80" s="73"/>
      <c r="D80" s="74"/>
      <c r="E80" s="74"/>
      <c r="F80" s="75"/>
      <c r="G80" s="76"/>
      <c r="H80" s="77"/>
      <c r="I80" s="78"/>
      <c r="J80" s="79"/>
      <c r="K80" s="8"/>
      <c r="L80" s="9"/>
      <c r="M80" s="154"/>
      <c r="N80" s="10"/>
    </row>
    <row r="81" spans="1:14" x14ac:dyDescent="0.25">
      <c r="A81" s="72"/>
      <c r="B81" s="80" t="s">
        <v>183</v>
      </c>
      <c r="C81" s="73"/>
      <c r="D81" s="74"/>
      <c r="E81" s="74"/>
      <c r="F81" s="75"/>
      <c r="G81" s="76"/>
      <c r="H81" s="77"/>
      <c r="I81" s="78"/>
      <c r="J81" s="79"/>
      <c r="K81" s="8"/>
      <c r="L81" s="9"/>
      <c r="M81" s="154"/>
      <c r="N81" s="10"/>
    </row>
    <row r="82" spans="1:14" x14ac:dyDescent="0.25">
      <c r="A82" s="72"/>
      <c r="B82" s="80" t="s">
        <v>186</v>
      </c>
      <c r="C82" s="73"/>
      <c r="D82" s="74"/>
      <c r="E82" s="74"/>
      <c r="F82" s="75"/>
      <c r="G82" s="76"/>
      <c r="H82" s="77"/>
      <c r="I82" s="78"/>
      <c r="J82" s="79"/>
      <c r="K82" s="8"/>
      <c r="L82" s="9"/>
      <c r="M82" s="154"/>
      <c r="N82" s="10"/>
    </row>
    <row r="83" spans="1:14" x14ac:dyDescent="0.25">
      <c r="A83" s="72"/>
      <c r="B83" s="80" t="s">
        <v>187</v>
      </c>
      <c r="C83" s="73"/>
      <c r="D83" s="74"/>
      <c r="E83" s="74"/>
      <c r="F83" s="75"/>
      <c r="G83" s="76"/>
      <c r="H83" s="77"/>
      <c r="I83" s="78"/>
      <c r="J83" s="79"/>
      <c r="K83" s="8"/>
      <c r="L83" s="9"/>
      <c r="M83" s="154"/>
      <c r="N83" s="10"/>
    </row>
    <row r="84" spans="1:14" x14ac:dyDescent="0.25">
      <c r="A84" s="72"/>
      <c r="B84" s="80" t="s">
        <v>189</v>
      </c>
      <c r="C84" s="73"/>
      <c r="D84" s="74"/>
      <c r="E84" s="74"/>
      <c r="F84" s="75"/>
      <c r="G84" s="76"/>
      <c r="H84" s="77"/>
      <c r="I84" s="78"/>
      <c r="J84" s="79"/>
      <c r="K84" s="8"/>
      <c r="L84" s="9"/>
      <c r="M84" s="154"/>
      <c r="N84" s="10"/>
    </row>
    <row r="85" spans="1:14" x14ac:dyDescent="0.25">
      <c r="A85" s="72"/>
      <c r="B85" s="80" t="s">
        <v>192</v>
      </c>
      <c r="C85" s="73"/>
      <c r="D85" s="74"/>
      <c r="E85" s="74"/>
      <c r="F85" s="75"/>
      <c r="G85" s="76"/>
      <c r="H85" s="77"/>
      <c r="I85" s="78"/>
      <c r="J85" s="79"/>
      <c r="K85" s="8"/>
      <c r="L85" s="9"/>
      <c r="M85" s="154"/>
      <c r="N85" s="10"/>
    </row>
    <row r="86" spans="1:14" x14ac:dyDescent="0.25">
      <c r="A86" s="72"/>
      <c r="B86" s="80" t="s">
        <v>195</v>
      </c>
      <c r="C86" s="73"/>
      <c r="D86" s="74"/>
      <c r="E86" s="74"/>
      <c r="F86" s="75"/>
      <c r="G86" s="76"/>
      <c r="H86" s="77"/>
      <c r="I86" s="78"/>
      <c r="J86" s="79"/>
      <c r="K86" s="8"/>
      <c r="L86" s="9"/>
      <c r="M86" s="154"/>
      <c r="N86" s="10"/>
    </row>
    <row r="87" spans="1:14" ht="21.75" customHeight="1" x14ac:dyDescent="0.25">
      <c r="A87" s="72"/>
      <c r="B87" s="80" t="s">
        <v>198</v>
      </c>
      <c r="C87" s="73"/>
      <c r="D87" s="74"/>
      <c r="E87" s="74"/>
      <c r="F87" s="75"/>
      <c r="G87" s="76"/>
      <c r="H87" s="77"/>
      <c r="I87" s="78"/>
      <c r="J87" s="79"/>
      <c r="K87" s="8"/>
      <c r="L87" s="9"/>
      <c r="M87" s="154"/>
      <c r="N87" s="10"/>
    </row>
    <row r="88" spans="1:14" x14ac:dyDescent="0.25">
      <c r="A88" s="72"/>
      <c r="B88" s="80" t="s">
        <v>200</v>
      </c>
      <c r="C88" s="73"/>
      <c r="D88" s="74"/>
      <c r="E88" s="74"/>
      <c r="F88" s="75"/>
      <c r="G88" s="76"/>
      <c r="H88" s="77"/>
      <c r="I88" s="78"/>
      <c r="J88" s="79"/>
      <c r="K88" s="8"/>
      <c r="L88" s="9"/>
      <c r="M88" s="154"/>
      <c r="N88" s="10"/>
    </row>
    <row r="89" spans="1:14" x14ac:dyDescent="0.25">
      <c r="A89" s="72"/>
      <c r="B89" s="80" t="s">
        <v>202</v>
      </c>
      <c r="C89" s="73"/>
      <c r="D89" s="74"/>
      <c r="E89" s="74"/>
      <c r="F89" s="75"/>
      <c r="G89" s="76"/>
      <c r="H89" s="77"/>
      <c r="I89" s="78"/>
      <c r="J89" s="79"/>
      <c r="K89" s="8"/>
      <c r="L89" s="9"/>
      <c r="M89" s="154"/>
      <c r="N89" s="10"/>
    </row>
    <row r="90" spans="1:14" x14ac:dyDescent="0.25">
      <c r="A90" s="72"/>
      <c r="B90" s="80" t="s">
        <v>205</v>
      </c>
      <c r="C90" s="73"/>
      <c r="D90" s="74"/>
      <c r="E90" s="74"/>
      <c r="F90" s="75"/>
      <c r="G90" s="76"/>
      <c r="H90" s="77"/>
      <c r="I90" s="78"/>
      <c r="J90" s="79"/>
      <c r="K90" s="8"/>
      <c r="L90" s="9"/>
      <c r="M90" s="154"/>
      <c r="N90" s="10"/>
    </row>
    <row r="91" spans="1:14" x14ac:dyDescent="0.25">
      <c r="A91" s="72"/>
      <c r="B91" s="80" t="s">
        <v>208</v>
      </c>
      <c r="C91" s="73"/>
      <c r="D91" s="74"/>
      <c r="E91" s="74"/>
      <c r="F91" s="75"/>
      <c r="G91" s="76"/>
      <c r="H91" s="77"/>
      <c r="I91" s="78"/>
      <c r="J91" s="79"/>
      <c r="K91" s="8"/>
      <c r="L91" s="9"/>
      <c r="M91" s="154"/>
      <c r="N91" s="10"/>
    </row>
    <row r="92" spans="1:14" x14ac:dyDescent="0.25">
      <c r="A92" s="72"/>
      <c r="B92" s="80" t="s">
        <v>211</v>
      </c>
      <c r="C92" s="73"/>
      <c r="D92" s="74"/>
      <c r="E92" s="74"/>
      <c r="F92" s="75"/>
      <c r="G92" s="76"/>
      <c r="H92" s="77"/>
      <c r="I92" s="78"/>
      <c r="J92" s="79"/>
      <c r="K92" s="8"/>
      <c r="L92" s="9"/>
      <c r="M92" s="154"/>
      <c r="N92" s="10"/>
    </row>
    <row r="93" spans="1:14" x14ac:dyDescent="0.25">
      <c r="A93" s="72"/>
      <c r="B93" s="80" t="s">
        <v>214</v>
      </c>
      <c r="C93" s="73"/>
      <c r="D93" s="74"/>
      <c r="E93" s="74"/>
      <c r="F93" s="75"/>
      <c r="G93" s="76"/>
      <c r="H93" s="77"/>
      <c r="I93" s="78"/>
      <c r="J93" s="79"/>
      <c r="K93" s="8"/>
      <c r="L93" s="9"/>
      <c r="M93" s="154"/>
      <c r="N93" s="10"/>
    </row>
    <row r="94" spans="1:14" x14ac:dyDescent="0.25">
      <c r="A94" s="72"/>
      <c r="B94" s="80" t="s">
        <v>217</v>
      </c>
      <c r="C94" s="73"/>
      <c r="D94" s="74"/>
      <c r="E94" s="74"/>
      <c r="F94" s="75"/>
      <c r="G94" s="76"/>
      <c r="H94" s="77"/>
      <c r="I94" s="78"/>
      <c r="J94" s="79"/>
      <c r="K94" s="8"/>
      <c r="L94" s="9"/>
      <c r="M94" s="154"/>
      <c r="N94" s="10"/>
    </row>
    <row r="95" spans="1:14" x14ac:dyDescent="0.25">
      <c r="A95" s="72"/>
      <c r="B95" s="80" t="s">
        <v>220</v>
      </c>
      <c r="C95" s="73"/>
      <c r="D95" s="74"/>
      <c r="E95" s="74"/>
      <c r="F95" s="75"/>
      <c r="G95" s="76"/>
      <c r="H95" s="77"/>
      <c r="I95" s="78"/>
      <c r="J95" s="79"/>
      <c r="K95" s="8"/>
      <c r="L95" s="9"/>
      <c r="M95" s="154"/>
      <c r="N95" s="10"/>
    </row>
    <row r="96" spans="1:14" x14ac:dyDescent="0.25">
      <c r="A96" s="72"/>
      <c r="B96" s="80" t="s">
        <v>223</v>
      </c>
      <c r="C96" s="73"/>
      <c r="D96" s="74"/>
      <c r="E96" s="74"/>
      <c r="F96" s="75"/>
      <c r="G96" s="76"/>
      <c r="H96" s="77"/>
      <c r="I96" s="78"/>
      <c r="J96" s="79"/>
      <c r="K96" s="8"/>
      <c r="L96" s="9"/>
      <c r="M96" s="154"/>
      <c r="N96" s="10"/>
    </row>
    <row r="97" spans="1:14" x14ac:dyDescent="0.25">
      <c r="A97" s="72"/>
      <c r="B97" s="80" t="s">
        <v>226</v>
      </c>
      <c r="C97" s="73"/>
      <c r="D97" s="74"/>
      <c r="E97" s="74"/>
      <c r="F97" s="75"/>
      <c r="G97" s="76"/>
      <c r="H97" s="77"/>
      <c r="I97" s="78"/>
      <c r="J97" s="79"/>
      <c r="K97" s="8"/>
      <c r="L97" s="9"/>
      <c r="M97" s="154"/>
      <c r="N97" s="10"/>
    </row>
    <row r="98" spans="1:14" x14ac:dyDescent="0.25">
      <c r="A98" s="72"/>
      <c r="B98" s="80" t="s">
        <v>228</v>
      </c>
      <c r="C98" s="73"/>
      <c r="D98" s="74"/>
      <c r="E98" s="74"/>
      <c r="F98" s="75"/>
      <c r="G98" s="76"/>
      <c r="H98" s="77"/>
      <c r="I98" s="78"/>
      <c r="J98" s="79"/>
      <c r="K98" s="8"/>
      <c r="L98" s="9"/>
      <c r="M98" s="154"/>
      <c r="N98" s="10"/>
    </row>
    <row r="99" spans="1:14" x14ac:dyDescent="0.25">
      <c r="A99" s="72"/>
      <c r="B99" s="80" t="s">
        <v>231</v>
      </c>
      <c r="C99" s="73"/>
      <c r="D99" s="74"/>
      <c r="E99" s="74"/>
      <c r="F99" s="75"/>
      <c r="G99" s="76"/>
      <c r="H99" s="77"/>
      <c r="I99" s="78"/>
      <c r="J99" s="79"/>
      <c r="K99" s="8"/>
      <c r="L99" s="9"/>
      <c r="M99" s="154"/>
      <c r="N99" s="10"/>
    </row>
    <row r="100" spans="1:14" x14ac:dyDescent="0.25">
      <c r="A100" s="72"/>
      <c r="B100" s="80" t="s">
        <v>233</v>
      </c>
      <c r="C100" s="73"/>
      <c r="D100" s="74"/>
      <c r="E100" s="74"/>
      <c r="F100" s="75"/>
      <c r="G100" s="76"/>
      <c r="H100" s="77"/>
      <c r="I100" s="78"/>
      <c r="J100" s="79"/>
      <c r="K100" s="8"/>
      <c r="L100" s="9"/>
      <c r="M100" s="154"/>
      <c r="N100" s="10"/>
    </row>
    <row r="101" spans="1:14" s="68" customFormat="1" x14ac:dyDescent="0.2">
      <c r="A101" s="72"/>
      <c r="B101" s="80" t="s">
        <v>235</v>
      </c>
      <c r="C101" s="73"/>
      <c r="D101" s="74"/>
      <c r="E101" s="74"/>
      <c r="F101" s="75"/>
      <c r="G101" s="76"/>
      <c r="H101" s="77"/>
      <c r="I101" s="78"/>
      <c r="J101" s="79"/>
      <c r="K101" s="8"/>
      <c r="L101" s="9"/>
      <c r="M101" s="154"/>
      <c r="N101" s="10"/>
    </row>
    <row r="102" spans="1:14" x14ac:dyDescent="0.25">
      <c r="A102" s="72"/>
      <c r="B102" s="80" t="s">
        <v>237</v>
      </c>
      <c r="C102" s="73"/>
      <c r="D102" s="74"/>
      <c r="E102" s="74"/>
      <c r="F102" s="75"/>
      <c r="G102" s="76"/>
      <c r="H102" s="77"/>
      <c r="I102" s="78"/>
      <c r="J102" s="79"/>
      <c r="K102" s="8"/>
      <c r="L102" s="9"/>
      <c r="M102" s="154"/>
      <c r="N102" s="10"/>
    </row>
    <row r="103" spans="1:14" x14ac:dyDescent="0.25">
      <c r="A103" s="72"/>
      <c r="B103" s="80" t="s">
        <v>239</v>
      </c>
      <c r="C103" s="73"/>
      <c r="D103" s="74"/>
      <c r="E103" s="74"/>
      <c r="F103" s="75"/>
      <c r="G103" s="76"/>
      <c r="H103" s="77"/>
      <c r="I103" s="78"/>
      <c r="J103" s="79"/>
      <c r="K103" s="8"/>
      <c r="L103" s="9"/>
      <c r="M103" s="154"/>
      <c r="N103" s="10"/>
    </row>
    <row r="104" spans="1:14" x14ac:dyDescent="0.25">
      <c r="A104" s="116"/>
    </row>
    <row r="105" spans="1:14" x14ac:dyDescent="0.25">
      <c r="A105" t="s">
        <v>29</v>
      </c>
      <c r="B105" s="117" t="s">
        <v>474</v>
      </c>
      <c r="E105" t="s">
        <v>23</v>
      </c>
      <c r="J105" t="s">
        <v>332</v>
      </c>
    </row>
    <row r="161" ht="22.5" customHeight="1" x14ac:dyDescent="0.25"/>
    <row r="164" ht="23.25" customHeight="1" x14ac:dyDescent="0.25"/>
  </sheetData>
  <autoFilter ref="A5:N105" xr:uid="{00000000-0009-0000-0000-000003000000}"/>
  <mergeCells count="22">
    <mergeCell ref="L5:L6"/>
    <mergeCell ref="G5:G6"/>
    <mergeCell ref="H5:H6"/>
    <mergeCell ref="I5:I6"/>
    <mergeCell ref="J5:J6"/>
    <mergeCell ref="K5:K6"/>
    <mergeCell ref="M5:M6"/>
    <mergeCell ref="A1:B2"/>
    <mergeCell ref="C1:N1"/>
    <mergeCell ref="C2:N2"/>
    <mergeCell ref="A3:B3"/>
    <mergeCell ref="C3:N3"/>
    <mergeCell ref="N5:N6"/>
    <mergeCell ref="A4:C4"/>
    <mergeCell ref="D4:K4"/>
    <mergeCell ref="L4:N4"/>
    <mergeCell ref="A5:A6"/>
    <mergeCell ref="B5:B6"/>
    <mergeCell ref="C5:C6"/>
    <mergeCell ref="D5:D6"/>
    <mergeCell ref="E5:E6"/>
    <mergeCell ref="F5:F6"/>
  </mergeCells>
  <dataValidations count="6">
    <dataValidation type="list" allowBlank="1" showErrorMessage="1" sqref="A3" xr:uid="{00000000-0002-0000-0300-000000000000}">
      <formula1>"#ref!"</formula1>
      <formula2>0</formula2>
    </dataValidation>
    <dataValidation type="list" allowBlank="1" showInputMessage="1" showErrorMessage="1" sqref="A7:A1105" xr:uid="{00000000-0002-0000-0300-000001000000}">
      <formula1>$S$8:$S$10</formula1>
      <formula2>0</formula2>
    </dataValidation>
    <dataValidation type="list" allowBlank="1" showInputMessage="1" showErrorMessage="1" sqref="G7:G34 H33 G35:G1105" xr:uid="{00000000-0002-0000-0300-000002000000}">
      <formula1>$Y$8:$Y$33</formula1>
      <formula2>0</formula2>
    </dataValidation>
    <dataValidation type="list" allowBlank="1" showInputMessage="1" showErrorMessage="1" sqref="E7:E1105" xr:uid="{00000000-0002-0000-0300-000003000000}">
      <formula1>$W$8:$W$14</formula1>
      <formula2>0</formula2>
    </dataValidation>
    <dataValidation type="list" allowBlank="1" showInputMessage="1" showErrorMessage="1" sqref="D7:D1105" xr:uid="{00000000-0002-0000-0300-000004000000}">
      <formula1>$U$8:$U$22</formula1>
      <formula2>0</formula2>
    </dataValidation>
    <dataValidation type="list" allowBlank="1" showInputMessage="1" showErrorMessage="1" sqref="J7:J1105" xr:uid="{00000000-0002-0000-0300-000005000000}">
      <formula1>$Q$9:$Q$22</formula1>
      <formula2>0</formula2>
    </dataValidation>
  </dataValidations>
  <pageMargins left="0.25" right="0.25" top="0.75" bottom="0.75" header="0.511811023622047" footer="0.511811023622047"/>
  <pageSetup paperSize="9" fitToHeight="0" orientation="landscape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Y217"/>
  <sheetViews>
    <sheetView zoomScale="80" zoomScaleNormal="80" workbookViewId="0">
      <pane xSplit="2" ySplit="6" topLeftCell="D110" activePane="bottomRight" state="frozen"/>
      <selection pane="topRight" activeCell="D1" sqref="D1"/>
      <selection pane="bottomLeft" activeCell="A38" sqref="A38"/>
      <selection pane="bottomRight" activeCell="H111" sqref="H111"/>
    </sheetView>
  </sheetViews>
  <sheetFormatPr baseColWidth="10" defaultColWidth="11" defaultRowHeight="13.2" x14ac:dyDescent="0.25"/>
  <cols>
    <col min="1" max="1" width="4.88671875" customWidth="1"/>
    <col min="2" max="2" width="8.44140625" customWidth="1"/>
    <col min="3" max="3" width="12.109375" customWidth="1"/>
    <col min="4" max="4" width="16.33203125" customWidth="1"/>
    <col min="5" max="5" width="16.44140625" customWidth="1"/>
    <col min="6" max="6" width="48.33203125" customWidth="1"/>
    <col min="7" max="7" width="19.6640625" customWidth="1"/>
    <col min="8" max="8" width="22.6640625" customWidth="1"/>
    <col min="9" max="9" width="12.109375" customWidth="1"/>
    <col min="10" max="10" width="14.109375" customWidth="1"/>
    <col min="11" max="11" width="35.44140625" customWidth="1"/>
    <col min="12" max="12" width="16" customWidth="1"/>
    <col min="13" max="13" width="16" style="153" customWidth="1"/>
    <col min="17" max="17" width="11.88671875" customWidth="1"/>
    <col min="19" max="19" width="10.44140625" customWidth="1"/>
    <col min="21" max="21" width="17.33203125" customWidth="1"/>
    <col min="23" max="23" width="17.33203125" customWidth="1"/>
  </cols>
  <sheetData>
    <row r="1" spans="1:25" s="1" customFormat="1" ht="24" customHeight="1" x14ac:dyDescent="0.3">
      <c r="A1" s="168"/>
      <c r="B1" s="168"/>
      <c r="C1" s="169" t="s">
        <v>0</v>
      </c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</row>
    <row r="2" spans="1:25" s="2" customFormat="1" ht="54.75" customHeight="1" x14ac:dyDescent="0.3">
      <c r="A2" s="168"/>
      <c r="B2" s="168"/>
      <c r="C2" s="170" t="s">
        <v>1</v>
      </c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</row>
    <row r="3" spans="1:25" s="2" customFormat="1" ht="21.75" customHeight="1" x14ac:dyDescent="0.3">
      <c r="A3" s="171" t="s">
        <v>2</v>
      </c>
      <c r="B3" s="171"/>
      <c r="C3" s="172" t="s">
        <v>3</v>
      </c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</row>
    <row r="4" spans="1:25" s="3" customFormat="1" ht="27.75" customHeight="1" x14ac:dyDescent="0.3">
      <c r="A4" s="173" t="s">
        <v>4</v>
      </c>
      <c r="B4" s="173"/>
      <c r="C4" s="173"/>
      <c r="D4" s="174"/>
      <c r="E4" s="174"/>
      <c r="F4" s="174"/>
      <c r="G4" s="174"/>
      <c r="H4" s="174"/>
      <c r="I4" s="174"/>
      <c r="J4" s="174"/>
      <c r="K4" s="174"/>
      <c r="L4" s="175" t="s">
        <v>5</v>
      </c>
      <c r="M4" s="175"/>
      <c r="N4" s="175"/>
    </row>
    <row r="5" spans="1:25" ht="91.5" customHeight="1" x14ac:dyDescent="0.25">
      <c r="A5" s="176" t="s">
        <v>6</v>
      </c>
      <c r="B5" s="177" t="s">
        <v>7</v>
      </c>
      <c r="C5" s="178" t="s">
        <v>8</v>
      </c>
      <c r="D5" s="167" t="s">
        <v>9</v>
      </c>
      <c r="E5" s="167" t="s">
        <v>10</v>
      </c>
      <c r="F5" s="167" t="s">
        <v>11</v>
      </c>
      <c r="G5" s="176" t="s">
        <v>12</v>
      </c>
      <c r="H5" s="176" t="s">
        <v>13</v>
      </c>
      <c r="I5" s="178" t="s">
        <v>14</v>
      </c>
      <c r="J5" s="182" t="s">
        <v>15</v>
      </c>
      <c r="K5" s="183" t="s">
        <v>16</v>
      </c>
      <c r="L5" s="181" t="s">
        <v>17</v>
      </c>
      <c r="M5" s="184" t="s">
        <v>18</v>
      </c>
      <c r="N5" s="180" t="s">
        <v>19</v>
      </c>
    </row>
    <row r="6" spans="1:25" x14ac:dyDescent="0.25">
      <c r="A6" s="176"/>
      <c r="B6" s="177"/>
      <c r="C6" s="178"/>
      <c r="D6" s="167"/>
      <c r="E6" s="167"/>
      <c r="F6" s="167"/>
      <c r="G6" s="176"/>
      <c r="H6" s="176"/>
      <c r="I6" s="178"/>
      <c r="J6" s="182"/>
      <c r="K6" s="183"/>
      <c r="L6" s="181"/>
      <c r="M6" s="184"/>
      <c r="N6" s="180"/>
    </row>
    <row r="7" spans="1:25" ht="52.8" x14ac:dyDescent="0.25">
      <c r="A7" s="72" t="s">
        <v>29</v>
      </c>
      <c r="B7" s="80" t="s">
        <v>475</v>
      </c>
      <c r="C7" s="73">
        <v>44218</v>
      </c>
      <c r="D7" s="74" t="s">
        <v>56</v>
      </c>
      <c r="E7" s="74" t="s">
        <v>23</v>
      </c>
      <c r="F7" s="75" t="s">
        <v>476</v>
      </c>
      <c r="G7" s="76" t="s">
        <v>49</v>
      </c>
      <c r="H7" s="77" t="s">
        <v>477</v>
      </c>
      <c r="I7" s="78">
        <v>44221</v>
      </c>
      <c r="J7" s="79" t="s">
        <v>27</v>
      </c>
      <c r="K7" s="8"/>
      <c r="L7" s="9"/>
      <c r="M7" s="154"/>
      <c r="N7" s="10"/>
      <c r="Q7" s="11" t="s">
        <v>28</v>
      </c>
      <c r="R7" s="12"/>
      <c r="S7" s="13" t="s">
        <v>6</v>
      </c>
      <c r="T7" s="12"/>
      <c r="U7" s="14" t="s">
        <v>9</v>
      </c>
      <c r="V7" s="12"/>
      <c r="W7" s="12" t="s">
        <v>10</v>
      </c>
      <c r="Y7" s="12" t="s">
        <v>12</v>
      </c>
    </row>
    <row r="8" spans="1:25" ht="34.799999999999997" x14ac:dyDescent="0.25">
      <c r="A8" s="72" t="s">
        <v>29</v>
      </c>
      <c r="B8" s="80" t="s">
        <v>478</v>
      </c>
      <c r="C8" s="73">
        <v>44249</v>
      </c>
      <c r="D8" s="74" t="s">
        <v>56</v>
      </c>
      <c r="E8" s="74" t="s">
        <v>44</v>
      </c>
      <c r="F8" s="75" t="s">
        <v>479</v>
      </c>
      <c r="G8" s="76" t="s">
        <v>116</v>
      </c>
      <c r="H8" s="77" t="s">
        <v>480</v>
      </c>
      <c r="I8" s="78">
        <v>44218</v>
      </c>
      <c r="J8" s="79" t="s">
        <v>41</v>
      </c>
      <c r="K8" s="118">
        <v>2842.8</v>
      </c>
      <c r="L8" s="9">
        <v>6</v>
      </c>
      <c r="M8" s="154">
        <f>K8*L8</f>
        <v>17056.800000000003</v>
      </c>
      <c r="N8" s="10">
        <v>44228</v>
      </c>
      <c r="S8" s="27" t="s">
        <v>29</v>
      </c>
      <c r="U8" s="28" t="s">
        <v>35</v>
      </c>
      <c r="W8" t="s">
        <v>36</v>
      </c>
      <c r="Y8" s="29" t="s">
        <v>37</v>
      </c>
    </row>
    <row r="9" spans="1:25" ht="23.4" x14ac:dyDescent="0.25">
      <c r="A9" s="72" t="s">
        <v>29</v>
      </c>
      <c r="B9" s="80" t="s">
        <v>481</v>
      </c>
      <c r="C9" s="73">
        <v>44223</v>
      </c>
      <c r="D9" s="74" t="s">
        <v>22</v>
      </c>
      <c r="E9" s="74" t="s">
        <v>23</v>
      </c>
      <c r="F9" s="75" t="s">
        <v>482</v>
      </c>
      <c r="G9" s="76" t="s">
        <v>49</v>
      </c>
      <c r="H9" s="77" t="s">
        <v>483</v>
      </c>
      <c r="I9" s="78">
        <v>44224</v>
      </c>
      <c r="J9" s="79" t="s">
        <v>27</v>
      </c>
      <c r="K9" s="8"/>
      <c r="L9" s="9"/>
      <c r="M9" s="154"/>
      <c r="N9" s="10"/>
      <c r="Q9" s="38" t="s">
        <v>41</v>
      </c>
      <c r="S9" s="27" t="s">
        <v>42</v>
      </c>
      <c r="U9" s="28" t="s">
        <v>43</v>
      </c>
      <c r="W9" t="s">
        <v>44</v>
      </c>
      <c r="Y9" s="29" t="s">
        <v>45</v>
      </c>
    </row>
    <row r="10" spans="1:25" ht="19.5" customHeight="1" x14ac:dyDescent="0.25">
      <c r="A10" s="72" t="s">
        <v>42</v>
      </c>
      <c r="B10" s="80" t="s">
        <v>484</v>
      </c>
      <c r="C10" s="73">
        <v>44235</v>
      </c>
      <c r="D10" s="74" t="s">
        <v>61</v>
      </c>
      <c r="E10" s="74" t="s">
        <v>23</v>
      </c>
      <c r="F10" s="75" t="s">
        <v>485</v>
      </c>
      <c r="G10" s="76" t="s">
        <v>37</v>
      </c>
      <c r="H10" s="77" t="s">
        <v>486</v>
      </c>
      <c r="I10" s="78">
        <v>44235</v>
      </c>
      <c r="J10" s="79" t="s">
        <v>67</v>
      </c>
      <c r="K10" s="8"/>
      <c r="L10" s="9"/>
      <c r="M10" s="154"/>
      <c r="N10" s="10"/>
      <c r="Q10" s="38" t="s">
        <v>332</v>
      </c>
      <c r="S10" s="39" t="s">
        <v>20</v>
      </c>
      <c r="U10" s="28" t="s">
        <v>53</v>
      </c>
      <c r="W10" t="s">
        <v>47</v>
      </c>
      <c r="Y10" s="29" t="s">
        <v>54</v>
      </c>
    </row>
    <row r="11" spans="1:25" ht="34.200000000000003" x14ac:dyDescent="0.25">
      <c r="A11" s="106" t="s">
        <v>29</v>
      </c>
      <c r="B11" s="107" t="s">
        <v>487</v>
      </c>
      <c r="C11" s="108">
        <v>44237</v>
      </c>
      <c r="D11" s="109" t="s">
        <v>56</v>
      </c>
      <c r="E11" s="109" t="s">
        <v>44</v>
      </c>
      <c r="F11" s="110" t="s">
        <v>488</v>
      </c>
      <c r="G11" s="111" t="s">
        <v>88</v>
      </c>
      <c r="H11" s="119" t="s">
        <v>465</v>
      </c>
      <c r="I11" s="113">
        <v>44237</v>
      </c>
      <c r="J11" s="114" t="s">
        <v>41</v>
      </c>
      <c r="K11" s="120" t="s">
        <v>489</v>
      </c>
      <c r="L11" s="121" t="s">
        <v>490</v>
      </c>
      <c r="M11" s="154">
        <v>225323.5</v>
      </c>
      <c r="N11" s="10">
        <v>44244</v>
      </c>
      <c r="Q11" s="38" t="s">
        <v>52</v>
      </c>
      <c r="U11" s="28" t="s">
        <v>22</v>
      </c>
      <c r="W11" t="s">
        <v>23</v>
      </c>
      <c r="Y11" s="29" t="s">
        <v>59</v>
      </c>
    </row>
    <row r="12" spans="1:25" ht="23.4" x14ac:dyDescent="0.25">
      <c r="A12" s="72" t="s">
        <v>29</v>
      </c>
      <c r="B12" s="80" t="s">
        <v>491</v>
      </c>
      <c r="C12" s="73">
        <v>44238</v>
      </c>
      <c r="D12" s="74" t="s">
        <v>56</v>
      </c>
      <c r="E12" s="74" t="s">
        <v>44</v>
      </c>
      <c r="F12" s="122" t="s">
        <v>492</v>
      </c>
      <c r="G12" s="76" t="s">
        <v>125</v>
      </c>
      <c r="H12" s="77" t="s">
        <v>111</v>
      </c>
      <c r="I12" s="78">
        <v>44238</v>
      </c>
      <c r="J12" s="79" t="s">
        <v>493</v>
      </c>
      <c r="K12" s="120" t="s">
        <v>494</v>
      </c>
      <c r="L12" s="121" t="s">
        <v>495</v>
      </c>
      <c r="M12" s="154">
        <v>486519.5</v>
      </c>
      <c r="N12" s="10">
        <v>44238</v>
      </c>
      <c r="Q12" s="47" t="s">
        <v>27</v>
      </c>
      <c r="U12" s="28"/>
      <c r="Y12" s="29"/>
    </row>
    <row r="13" spans="1:25" ht="23.4" x14ac:dyDescent="0.25">
      <c r="A13" s="72" t="s">
        <v>29</v>
      </c>
      <c r="B13" s="80" t="s">
        <v>496</v>
      </c>
      <c r="C13" s="73">
        <v>44239</v>
      </c>
      <c r="D13" s="74" t="s">
        <v>56</v>
      </c>
      <c r="E13" s="74" t="s">
        <v>23</v>
      </c>
      <c r="F13" s="122" t="s">
        <v>497</v>
      </c>
      <c r="G13" s="76" t="s">
        <v>116</v>
      </c>
      <c r="H13" s="77" t="s">
        <v>498</v>
      </c>
      <c r="I13" s="78"/>
      <c r="J13" s="79" t="s">
        <v>493</v>
      </c>
      <c r="K13" s="8"/>
      <c r="L13" s="9"/>
      <c r="M13" s="154"/>
      <c r="N13" s="10"/>
      <c r="Q13" s="38" t="s">
        <v>341</v>
      </c>
      <c r="U13" s="28" t="s">
        <v>68</v>
      </c>
      <c r="W13" t="s">
        <v>69</v>
      </c>
      <c r="Y13" s="29" t="s">
        <v>70</v>
      </c>
    </row>
    <row r="14" spans="1:25" ht="23.4" x14ac:dyDescent="0.25">
      <c r="A14" s="72" t="s">
        <v>29</v>
      </c>
      <c r="B14" s="80" t="s">
        <v>499</v>
      </c>
      <c r="C14" s="73">
        <v>44239</v>
      </c>
      <c r="D14" s="74" t="s">
        <v>56</v>
      </c>
      <c r="E14" s="74" t="s">
        <v>23</v>
      </c>
      <c r="F14" s="75" t="s">
        <v>500</v>
      </c>
      <c r="G14" s="76" t="s">
        <v>49</v>
      </c>
      <c r="H14" s="77" t="s">
        <v>501</v>
      </c>
      <c r="I14" s="78">
        <v>44244</v>
      </c>
      <c r="J14" s="79" t="s">
        <v>27</v>
      </c>
      <c r="K14" s="8"/>
      <c r="L14" s="9"/>
      <c r="M14" s="154"/>
      <c r="N14" s="10"/>
      <c r="Q14" s="38" t="s">
        <v>74</v>
      </c>
      <c r="U14" s="28" t="s">
        <v>76</v>
      </c>
      <c r="W14" t="s">
        <v>77</v>
      </c>
      <c r="Y14" s="29" t="s">
        <v>78</v>
      </c>
    </row>
    <row r="15" spans="1:25" x14ac:dyDescent="0.25">
      <c r="A15" s="72" t="s">
        <v>29</v>
      </c>
      <c r="B15" s="80" t="s">
        <v>502</v>
      </c>
      <c r="C15" s="73">
        <v>44250</v>
      </c>
      <c r="D15" s="74" t="s">
        <v>35</v>
      </c>
      <c r="E15" s="74" t="s">
        <v>23</v>
      </c>
      <c r="F15" s="75" t="s">
        <v>503</v>
      </c>
      <c r="G15" s="76" t="s">
        <v>37</v>
      </c>
      <c r="H15" s="119" t="s">
        <v>504</v>
      </c>
      <c r="I15" s="78">
        <v>44250</v>
      </c>
      <c r="J15" s="79" t="s">
        <v>52</v>
      </c>
      <c r="K15" s="8"/>
      <c r="L15" s="9"/>
      <c r="M15" s="154"/>
      <c r="N15" s="10"/>
      <c r="Q15" s="53" t="s">
        <v>64</v>
      </c>
      <c r="U15" s="28" t="s">
        <v>84</v>
      </c>
      <c r="Y15" s="29" t="s">
        <v>58</v>
      </c>
    </row>
    <row r="16" spans="1:25" ht="23.4" x14ac:dyDescent="0.25">
      <c r="A16" s="72" t="s">
        <v>20</v>
      </c>
      <c r="B16" s="80" t="s">
        <v>505</v>
      </c>
      <c r="C16" s="73">
        <v>44250</v>
      </c>
      <c r="D16" s="74" t="s">
        <v>68</v>
      </c>
      <c r="E16" s="74" t="s">
        <v>23</v>
      </c>
      <c r="F16" s="75" t="s">
        <v>506</v>
      </c>
      <c r="G16" s="76" t="s">
        <v>58</v>
      </c>
      <c r="H16" s="77" t="s">
        <v>279</v>
      </c>
      <c r="I16" s="78">
        <v>44250</v>
      </c>
      <c r="J16" s="79" t="s">
        <v>27</v>
      </c>
      <c r="K16" s="8"/>
      <c r="L16" s="9"/>
      <c r="M16" s="154"/>
      <c r="N16" s="10"/>
      <c r="Q16" s="53" t="s">
        <v>67</v>
      </c>
      <c r="U16" s="28" t="s">
        <v>61</v>
      </c>
      <c r="Y16" s="29" t="s">
        <v>88</v>
      </c>
    </row>
    <row r="17" spans="1:25" x14ac:dyDescent="0.25">
      <c r="A17" s="72" t="s">
        <v>29</v>
      </c>
      <c r="B17" s="80" t="s">
        <v>507</v>
      </c>
      <c r="C17" s="73">
        <v>44257</v>
      </c>
      <c r="D17" s="74" t="s">
        <v>56</v>
      </c>
      <c r="E17" s="74" t="s">
        <v>23</v>
      </c>
      <c r="F17" s="75" t="s">
        <v>508</v>
      </c>
      <c r="G17" s="76" t="s">
        <v>49</v>
      </c>
      <c r="H17" s="77" t="s">
        <v>134</v>
      </c>
      <c r="I17" s="78">
        <v>44257</v>
      </c>
      <c r="J17" s="79" t="s">
        <v>332</v>
      </c>
      <c r="K17" s="8"/>
      <c r="L17" s="9"/>
      <c r="M17" s="154"/>
      <c r="N17" s="10"/>
      <c r="Q17" s="53" t="s">
        <v>354</v>
      </c>
      <c r="U17" s="28" t="s">
        <v>92</v>
      </c>
      <c r="Y17" s="29" t="s">
        <v>93</v>
      </c>
    </row>
    <row r="18" spans="1:25" ht="26.4" x14ac:dyDescent="0.25">
      <c r="A18" s="72" t="s">
        <v>29</v>
      </c>
      <c r="B18" s="80" t="s">
        <v>509</v>
      </c>
      <c r="C18" s="73">
        <v>44258</v>
      </c>
      <c r="D18" s="74" t="s">
        <v>56</v>
      </c>
      <c r="E18" s="74" t="s">
        <v>44</v>
      </c>
      <c r="F18" s="75" t="s">
        <v>510</v>
      </c>
      <c r="G18" s="76" t="s">
        <v>37</v>
      </c>
      <c r="H18" s="123" t="s">
        <v>511</v>
      </c>
      <c r="I18" s="78">
        <v>44258</v>
      </c>
      <c r="J18" s="79" t="s">
        <v>27</v>
      </c>
      <c r="K18" s="8"/>
      <c r="L18" s="9"/>
      <c r="M18" s="154"/>
      <c r="N18" s="10"/>
      <c r="Q18" s="53" t="s">
        <v>332</v>
      </c>
      <c r="U18" s="28" t="s">
        <v>56</v>
      </c>
      <c r="Y18" s="29" t="s">
        <v>97</v>
      </c>
    </row>
    <row r="19" spans="1:25" x14ac:dyDescent="0.25">
      <c r="A19" s="72" t="s">
        <v>29</v>
      </c>
      <c r="B19" s="80" t="s">
        <v>512</v>
      </c>
      <c r="C19" s="73">
        <v>44259</v>
      </c>
      <c r="D19" s="74" t="s">
        <v>56</v>
      </c>
      <c r="E19" s="74" t="s">
        <v>23</v>
      </c>
      <c r="F19" s="75" t="s">
        <v>513</v>
      </c>
      <c r="G19" s="76" t="s">
        <v>49</v>
      </c>
      <c r="H19" s="77" t="s">
        <v>514</v>
      </c>
      <c r="I19" s="78">
        <v>44259</v>
      </c>
      <c r="J19" s="79" t="s">
        <v>332</v>
      </c>
      <c r="K19" s="8"/>
      <c r="L19" s="9"/>
      <c r="M19" s="154"/>
      <c r="N19" s="10"/>
      <c r="Q19" s="38" t="s">
        <v>360</v>
      </c>
      <c r="U19" s="28" t="s">
        <v>31</v>
      </c>
      <c r="Y19" s="29" t="s">
        <v>100</v>
      </c>
    </row>
    <row r="20" spans="1:25" ht="33" customHeight="1" x14ac:dyDescent="0.25">
      <c r="A20" s="72" t="s">
        <v>29</v>
      </c>
      <c r="B20" s="80" t="s">
        <v>515</v>
      </c>
      <c r="C20" s="73">
        <v>44259</v>
      </c>
      <c r="D20" s="74" t="s">
        <v>56</v>
      </c>
      <c r="E20" s="74" t="s">
        <v>23</v>
      </c>
      <c r="F20" s="75" t="s">
        <v>516</v>
      </c>
      <c r="G20" s="76" t="s">
        <v>49</v>
      </c>
      <c r="H20" s="77" t="s">
        <v>517</v>
      </c>
      <c r="I20" s="78">
        <v>44259</v>
      </c>
      <c r="J20" s="79" t="s">
        <v>332</v>
      </c>
      <c r="K20" s="8"/>
      <c r="L20" s="9"/>
      <c r="M20" s="154"/>
      <c r="N20" s="10"/>
      <c r="U20" s="28" t="s">
        <v>104</v>
      </c>
      <c r="Y20" s="29" t="s">
        <v>105</v>
      </c>
    </row>
    <row r="21" spans="1:25" ht="28.5" customHeight="1" x14ac:dyDescent="0.25">
      <c r="A21" s="72" t="s">
        <v>20</v>
      </c>
      <c r="B21" s="80" t="s">
        <v>518</v>
      </c>
      <c r="C21" s="73">
        <v>44263</v>
      </c>
      <c r="D21" s="74" t="s">
        <v>56</v>
      </c>
      <c r="E21" s="74" t="s">
        <v>23</v>
      </c>
      <c r="F21" s="75" t="s">
        <v>519</v>
      </c>
      <c r="G21" s="76" t="s">
        <v>93</v>
      </c>
      <c r="H21" s="77" t="s">
        <v>520</v>
      </c>
      <c r="I21" s="78"/>
      <c r="J21" s="79" t="s">
        <v>493</v>
      </c>
      <c r="K21" s="8"/>
      <c r="L21" s="9"/>
      <c r="M21" s="154"/>
      <c r="N21" s="10"/>
      <c r="U21" s="28" t="s">
        <v>108</v>
      </c>
      <c r="Y21" s="29" t="s">
        <v>49</v>
      </c>
    </row>
    <row r="22" spans="1:25" ht="23.4" x14ac:dyDescent="0.25">
      <c r="A22" s="72" t="s">
        <v>29</v>
      </c>
      <c r="B22" s="80" t="s">
        <v>521</v>
      </c>
      <c r="C22" s="73">
        <v>44263</v>
      </c>
      <c r="D22" s="74" t="s">
        <v>56</v>
      </c>
      <c r="E22" s="74" t="s">
        <v>23</v>
      </c>
      <c r="F22" s="75" t="s">
        <v>522</v>
      </c>
      <c r="G22" s="76" t="s">
        <v>116</v>
      </c>
      <c r="H22" s="77" t="s">
        <v>523</v>
      </c>
      <c r="I22" s="78">
        <v>44266</v>
      </c>
      <c r="J22" s="79" t="s">
        <v>27</v>
      </c>
      <c r="K22" s="8"/>
      <c r="L22" s="9"/>
      <c r="M22" s="154"/>
      <c r="N22" s="10"/>
      <c r="U22" s="28" t="s">
        <v>112</v>
      </c>
      <c r="Y22" s="29" t="s">
        <v>113</v>
      </c>
    </row>
    <row r="23" spans="1:25" ht="51.75" customHeight="1" x14ac:dyDescent="0.25">
      <c r="A23" s="72" t="s">
        <v>29</v>
      </c>
      <c r="B23" s="80" t="s">
        <v>524</v>
      </c>
      <c r="C23" s="73">
        <v>44264</v>
      </c>
      <c r="D23" s="74" t="s">
        <v>56</v>
      </c>
      <c r="E23" s="74" t="s">
        <v>23</v>
      </c>
      <c r="F23" s="75" t="s">
        <v>525</v>
      </c>
      <c r="G23" s="76" t="s">
        <v>49</v>
      </c>
      <c r="H23" s="77" t="s">
        <v>134</v>
      </c>
      <c r="I23" s="78">
        <v>44264</v>
      </c>
      <c r="J23" s="79" t="s">
        <v>332</v>
      </c>
      <c r="K23" s="8"/>
      <c r="L23" s="9"/>
      <c r="M23" s="154"/>
      <c r="N23" s="10"/>
      <c r="Q23" s="53"/>
      <c r="U23" s="28"/>
      <c r="Y23" s="29" t="s">
        <v>118</v>
      </c>
    </row>
    <row r="24" spans="1:25" ht="27.75" customHeight="1" x14ac:dyDescent="0.25">
      <c r="A24" s="72" t="s">
        <v>29</v>
      </c>
      <c r="B24" s="80" t="s">
        <v>526</v>
      </c>
      <c r="C24" s="73">
        <v>44264</v>
      </c>
      <c r="D24" s="74" t="s">
        <v>56</v>
      </c>
      <c r="E24" s="74" t="s">
        <v>23</v>
      </c>
      <c r="F24" s="75" t="s">
        <v>527</v>
      </c>
      <c r="G24" s="76" t="s">
        <v>49</v>
      </c>
      <c r="H24" s="77" t="s">
        <v>528</v>
      </c>
      <c r="I24" s="78"/>
      <c r="J24" s="79" t="s">
        <v>332</v>
      </c>
      <c r="K24" s="8"/>
      <c r="L24" s="9"/>
      <c r="M24" s="154"/>
      <c r="N24" s="10"/>
      <c r="Q24" s="53"/>
      <c r="Y24" s="29" t="s">
        <v>122</v>
      </c>
    </row>
    <row r="25" spans="1:25" ht="34.799999999999997" x14ac:dyDescent="0.25">
      <c r="A25" s="72" t="s">
        <v>29</v>
      </c>
      <c r="B25" s="80" t="s">
        <v>529</v>
      </c>
      <c r="C25" s="73">
        <v>44267</v>
      </c>
      <c r="D25" s="74" t="s">
        <v>56</v>
      </c>
      <c r="E25" s="74" t="s">
        <v>47</v>
      </c>
      <c r="F25" s="75" t="s">
        <v>530</v>
      </c>
      <c r="G25" s="76" t="s">
        <v>88</v>
      </c>
      <c r="H25" s="77" t="s">
        <v>465</v>
      </c>
      <c r="I25" s="78">
        <v>44267</v>
      </c>
      <c r="J25" s="79" t="s">
        <v>41</v>
      </c>
      <c r="K25" s="8"/>
      <c r="L25" s="9"/>
      <c r="M25" s="154"/>
      <c r="N25" s="10"/>
      <c r="Q25" s="53"/>
      <c r="Y25" s="29" t="s">
        <v>127</v>
      </c>
    </row>
    <row r="26" spans="1:25" ht="31.5" customHeight="1" x14ac:dyDescent="0.25">
      <c r="A26" s="72" t="s">
        <v>29</v>
      </c>
      <c r="B26" s="80" t="s">
        <v>531</v>
      </c>
      <c r="C26" s="73">
        <v>44273</v>
      </c>
      <c r="D26" s="74" t="s">
        <v>56</v>
      </c>
      <c r="E26" s="74" t="s">
        <v>23</v>
      </c>
      <c r="F26" s="75" t="s">
        <v>532</v>
      </c>
      <c r="G26" s="76" t="s">
        <v>88</v>
      </c>
      <c r="H26" s="77"/>
      <c r="I26" s="78">
        <v>44273</v>
      </c>
      <c r="J26" s="79" t="s">
        <v>332</v>
      </c>
      <c r="K26" s="8"/>
      <c r="L26" s="9"/>
      <c r="M26" s="154"/>
      <c r="N26" s="10"/>
      <c r="Q26" s="53"/>
      <c r="Y26" s="29" t="s">
        <v>131</v>
      </c>
    </row>
    <row r="27" spans="1:25" ht="28.5" customHeight="1" x14ac:dyDescent="0.25">
      <c r="A27" s="72" t="s">
        <v>20</v>
      </c>
      <c r="B27" s="80" t="s">
        <v>533</v>
      </c>
      <c r="C27" s="73">
        <v>44278</v>
      </c>
      <c r="D27" s="74" t="s">
        <v>56</v>
      </c>
      <c r="E27" s="74" t="s">
        <v>23</v>
      </c>
      <c r="F27" s="75" t="s">
        <v>534</v>
      </c>
      <c r="G27" s="76" t="s">
        <v>88</v>
      </c>
      <c r="H27" s="77" t="s">
        <v>535</v>
      </c>
      <c r="I27" s="78">
        <v>44278</v>
      </c>
      <c r="J27" s="79" t="s">
        <v>332</v>
      </c>
      <c r="K27" s="8"/>
      <c r="L27" s="9"/>
      <c r="M27" s="154"/>
      <c r="N27" s="10"/>
      <c r="Y27" s="29" t="s">
        <v>135</v>
      </c>
    </row>
    <row r="28" spans="1:25" ht="19.5" customHeight="1" x14ac:dyDescent="0.25">
      <c r="A28" s="72" t="s">
        <v>29</v>
      </c>
      <c r="B28" s="80" t="s">
        <v>536</v>
      </c>
      <c r="C28" s="73">
        <v>44278</v>
      </c>
      <c r="D28" s="74" t="s">
        <v>56</v>
      </c>
      <c r="E28" s="74" t="s">
        <v>23</v>
      </c>
      <c r="F28" s="75" t="s">
        <v>537</v>
      </c>
      <c r="G28" s="76"/>
      <c r="H28" s="77"/>
      <c r="I28" s="78">
        <v>44278</v>
      </c>
      <c r="J28" s="79" t="s">
        <v>332</v>
      </c>
      <c r="K28" s="8"/>
      <c r="L28" s="9"/>
      <c r="M28" s="154"/>
      <c r="N28" s="10"/>
      <c r="Y28" s="29" t="s">
        <v>116</v>
      </c>
    </row>
    <row r="29" spans="1:25" x14ac:dyDescent="0.25">
      <c r="A29" s="72"/>
      <c r="B29" s="80" t="s">
        <v>538</v>
      </c>
      <c r="C29" s="73"/>
      <c r="D29" s="74"/>
      <c r="E29" s="74"/>
      <c r="F29" s="75"/>
      <c r="G29" s="76"/>
      <c r="H29" s="77"/>
      <c r="I29" s="78"/>
      <c r="J29" s="79"/>
      <c r="K29" s="8"/>
      <c r="L29" s="9"/>
      <c r="M29" s="154"/>
      <c r="N29" s="10"/>
      <c r="Y29" s="29" t="s">
        <v>125</v>
      </c>
    </row>
    <row r="30" spans="1:25" ht="19.5" customHeight="1" x14ac:dyDescent="0.25">
      <c r="A30" s="72" t="s">
        <v>29</v>
      </c>
      <c r="B30" s="80" t="s">
        <v>539</v>
      </c>
      <c r="C30" s="73">
        <v>44280</v>
      </c>
      <c r="D30" s="74" t="s">
        <v>56</v>
      </c>
      <c r="E30" s="74" t="s">
        <v>47</v>
      </c>
      <c r="F30" s="75" t="s">
        <v>540</v>
      </c>
      <c r="G30" s="76" t="s">
        <v>97</v>
      </c>
      <c r="H30" s="77" t="s">
        <v>541</v>
      </c>
      <c r="I30" s="78">
        <v>44280</v>
      </c>
      <c r="J30" s="79" t="s">
        <v>67</v>
      </c>
      <c r="K30" s="8"/>
      <c r="L30" s="9"/>
      <c r="M30" s="154"/>
      <c r="N30" s="10"/>
      <c r="Y30" s="29" t="s">
        <v>142</v>
      </c>
    </row>
    <row r="31" spans="1:25" ht="23.4" x14ac:dyDescent="0.25">
      <c r="A31" s="72" t="s">
        <v>29</v>
      </c>
      <c r="B31" s="80" t="s">
        <v>542</v>
      </c>
      <c r="C31" s="73">
        <v>44281</v>
      </c>
      <c r="D31" s="74" t="s">
        <v>56</v>
      </c>
      <c r="E31" s="74" t="s">
        <v>23</v>
      </c>
      <c r="F31" s="75" t="s">
        <v>543</v>
      </c>
      <c r="G31" s="76" t="s">
        <v>37</v>
      </c>
      <c r="H31" s="77" t="s">
        <v>544</v>
      </c>
      <c r="I31" s="78">
        <v>44291</v>
      </c>
      <c r="J31" s="79" t="s">
        <v>27</v>
      </c>
      <c r="K31" s="8"/>
      <c r="L31" s="9"/>
      <c r="M31" s="154"/>
      <c r="N31" s="10"/>
      <c r="Y31" s="29" t="s">
        <v>144</v>
      </c>
    </row>
    <row r="32" spans="1:25" ht="23.4" x14ac:dyDescent="0.25">
      <c r="A32" s="72" t="s">
        <v>29</v>
      </c>
      <c r="B32" s="80" t="s">
        <v>545</v>
      </c>
      <c r="C32" s="73">
        <v>44285</v>
      </c>
      <c r="D32" s="74" t="s">
        <v>56</v>
      </c>
      <c r="E32" s="74" t="s">
        <v>44</v>
      </c>
      <c r="F32" s="75" t="s">
        <v>546</v>
      </c>
      <c r="G32" s="76" t="s">
        <v>88</v>
      </c>
      <c r="H32" s="77" t="s">
        <v>465</v>
      </c>
      <c r="I32" s="78">
        <v>44293</v>
      </c>
      <c r="J32" s="79" t="s">
        <v>41</v>
      </c>
      <c r="K32" s="124">
        <v>688</v>
      </c>
      <c r="L32" s="9">
        <v>37</v>
      </c>
      <c r="M32" s="164">
        <f>K32*L32*95</f>
        <v>2418320</v>
      </c>
      <c r="N32" s="10">
        <v>44378</v>
      </c>
      <c r="Y32" s="29" t="s">
        <v>146</v>
      </c>
    </row>
    <row r="33" spans="1:25" ht="31.5" customHeight="1" x14ac:dyDescent="0.25">
      <c r="A33" s="72" t="s">
        <v>29</v>
      </c>
      <c r="B33" s="80" t="s">
        <v>547</v>
      </c>
      <c r="C33" s="73">
        <v>44285</v>
      </c>
      <c r="D33" s="74" t="s">
        <v>56</v>
      </c>
      <c r="E33" s="74" t="s">
        <v>23</v>
      </c>
      <c r="F33" s="75" t="s">
        <v>548</v>
      </c>
      <c r="G33" s="76"/>
      <c r="H33" s="77"/>
      <c r="I33" s="78"/>
      <c r="J33" s="79" t="s">
        <v>332</v>
      </c>
      <c r="K33" s="8"/>
      <c r="L33" s="9"/>
      <c r="M33" s="154"/>
      <c r="N33" s="10"/>
      <c r="Y33" s="29" t="s">
        <v>25</v>
      </c>
    </row>
    <row r="34" spans="1:25" ht="30" customHeight="1" x14ac:dyDescent="0.25">
      <c r="A34" s="72" t="s">
        <v>29</v>
      </c>
      <c r="B34" s="80" t="s">
        <v>549</v>
      </c>
      <c r="C34" s="73">
        <v>44295</v>
      </c>
      <c r="D34" s="74" t="s">
        <v>61</v>
      </c>
      <c r="E34" s="74" t="s">
        <v>23</v>
      </c>
      <c r="F34" s="75" t="s">
        <v>550</v>
      </c>
      <c r="G34" s="76" t="s">
        <v>37</v>
      </c>
      <c r="H34" s="77" t="s">
        <v>350</v>
      </c>
      <c r="I34" s="78">
        <v>44298</v>
      </c>
      <c r="J34" s="79" t="s">
        <v>27</v>
      </c>
      <c r="K34" s="8"/>
      <c r="L34" s="9"/>
      <c r="M34" s="154"/>
      <c r="N34" s="10"/>
    </row>
    <row r="35" spans="1:25" x14ac:dyDescent="0.25">
      <c r="A35" s="72" t="s">
        <v>29</v>
      </c>
      <c r="B35" s="80" t="s">
        <v>551</v>
      </c>
      <c r="C35" s="73">
        <v>44299</v>
      </c>
      <c r="D35" s="74" t="s">
        <v>22</v>
      </c>
      <c r="E35" s="74" t="s">
        <v>23</v>
      </c>
      <c r="F35" s="75" t="s">
        <v>552</v>
      </c>
      <c r="G35" s="76" t="s">
        <v>25</v>
      </c>
      <c r="H35" s="77" t="s">
        <v>388</v>
      </c>
      <c r="I35" s="78">
        <v>44299</v>
      </c>
      <c r="J35" s="79" t="s">
        <v>64</v>
      </c>
      <c r="K35" s="8"/>
      <c r="L35" s="9"/>
      <c r="M35" s="154"/>
      <c r="N35" s="10"/>
    </row>
    <row r="36" spans="1:25" x14ac:dyDescent="0.25">
      <c r="A36" s="72" t="s">
        <v>29</v>
      </c>
      <c r="B36" s="80" t="s">
        <v>553</v>
      </c>
      <c r="C36" s="73">
        <v>44300</v>
      </c>
      <c r="D36" s="74" t="s">
        <v>56</v>
      </c>
      <c r="E36" s="74" t="s">
        <v>69</v>
      </c>
      <c r="F36" s="75" t="s">
        <v>554</v>
      </c>
      <c r="G36" s="76" t="s">
        <v>37</v>
      </c>
      <c r="H36" s="77" t="s">
        <v>230</v>
      </c>
      <c r="I36" s="78"/>
      <c r="J36" s="79" t="s">
        <v>27</v>
      </c>
      <c r="K36" s="125"/>
      <c r="L36" s="9"/>
      <c r="M36" s="154"/>
      <c r="N36" s="10"/>
    </row>
    <row r="37" spans="1:25" ht="23.4" x14ac:dyDescent="0.25">
      <c r="A37" s="72" t="s">
        <v>29</v>
      </c>
      <c r="B37" s="80" t="s">
        <v>555</v>
      </c>
      <c r="C37" s="73">
        <v>44306</v>
      </c>
      <c r="D37" s="74" t="s">
        <v>56</v>
      </c>
      <c r="E37" s="74" t="s">
        <v>23</v>
      </c>
      <c r="F37" s="75" t="s">
        <v>556</v>
      </c>
      <c r="G37" s="76" t="s">
        <v>49</v>
      </c>
      <c r="H37" s="77" t="s">
        <v>557</v>
      </c>
      <c r="I37" s="78">
        <v>44306</v>
      </c>
      <c r="J37" s="79" t="s">
        <v>332</v>
      </c>
      <c r="K37" s="8"/>
      <c r="L37" s="9"/>
      <c r="M37" s="154"/>
      <c r="N37" s="10"/>
    </row>
    <row r="38" spans="1:25" x14ac:dyDescent="0.25">
      <c r="A38" s="72" t="s">
        <v>20</v>
      </c>
      <c r="B38" s="80" t="s">
        <v>558</v>
      </c>
      <c r="C38" s="73">
        <v>44302</v>
      </c>
      <c r="D38" s="74" t="s">
        <v>56</v>
      </c>
      <c r="E38" s="74" t="s">
        <v>23</v>
      </c>
      <c r="F38" s="75" t="s">
        <v>559</v>
      </c>
      <c r="G38" s="76"/>
      <c r="H38" s="77" t="s">
        <v>560</v>
      </c>
      <c r="I38" s="78">
        <v>44307</v>
      </c>
      <c r="J38" s="79" t="s">
        <v>332</v>
      </c>
      <c r="K38" s="8"/>
      <c r="L38" s="9"/>
      <c r="M38" s="154"/>
      <c r="N38" s="10"/>
    </row>
    <row r="39" spans="1:25" x14ac:dyDescent="0.25">
      <c r="A39" s="72" t="s">
        <v>29</v>
      </c>
      <c r="B39" s="80" t="s">
        <v>561</v>
      </c>
      <c r="C39" s="73">
        <v>44305</v>
      </c>
      <c r="D39" s="74" t="s">
        <v>56</v>
      </c>
      <c r="E39" s="74" t="s">
        <v>23</v>
      </c>
      <c r="F39" s="75" t="s">
        <v>562</v>
      </c>
      <c r="G39" s="76" t="s">
        <v>49</v>
      </c>
      <c r="H39" s="77" t="s">
        <v>563</v>
      </c>
      <c r="I39" s="78">
        <v>44307</v>
      </c>
      <c r="J39" s="79" t="s">
        <v>332</v>
      </c>
      <c r="K39" s="8"/>
      <c r="L39" s="9"/>
      <c r="M39" s="154"/>
      <c r="N39" s="10"/>
    </row>
    <row r="40" spans="1:25" ht="26.25" customHeight="1" x14ac:dyDescent="0.25">
      <c r="A40" s="72" t="s">
        <v>29</v>
      </c>
      <c r="B40" s="80" t="s">
        <v>564</v>
      </c>
      <c r="C40" s="73">
        <v>44308</v>
      </c>
      <c r="D40" s="74" t="s">
        <v>22</v>
      </c>
      <c r="E40" s="74" t="s">
        <v>23</v>
      </c>
      <c r="F40" s="75" t="s">
        <v>565</v>
      </c>
      <c r="G40" s="76"/>
      <c r="H40" s="77" t="s">
        <v>566</v>
      </c>
      <c r="I40" s="78">
        <v>44308</v>
      </c>
      <c r="J40" s="79" t="s">
        <v>332</v>
      </c>
      <c r="K40" s="8"/>
      <c r="L40" s="9"/>
      <c r="M40" s="154"/>
      <c r="N40" s="10"/>
    </row>
    <row r="41" spans="1:25" ht="30.75" customHeight="1" x14ac:dyDescent="0.25">
      <c r="A41" s="106" t="s">
        <v>29</v>
      </c>
      <c r="B41" s="80" t="s">
        <v>567</v>
      </c>
      <c r="C41" s="108">
        <v>44309</v>
      </c>
      <c r="D41" s="109" t="s">
        <v>22</v>
      </c>
      <c r="E41" s="109" t="s">
        <v>23</v>
      </c>
      <c r="F41" s="110" t="s">
        <v>568</v>
      </c>
      <c r="G41" s="111" t="s">
        <v>49</v>
      </c>
      <c r="H41" s="112"/>
      <c r="I41" s="113">
        <v>44312</v>
      </c>
      <c r="J41" s="114" t="s">
        <v>332</v>
      </c>
      <c r="K41" s="8"/>
      <c r="L41" s="9"/>
      <c r="M41" s="154"/>
      <c r="N41" s="10"/>
    </row>
    <row r="42" spans="1:25" ht="26.25" customHeight="1" x14ac:dyDescent="0.25">
      <c r="A42" s="72" t="s">
        <v>29</v>
      </c>
      <c r="B42" s="80" t="s">
        <v>569</v>
      </c>
      <c r="C42" s="73"/>
      <c r="D42" s="74"/>
      <c r="E42" s="74" t="s">
        <v>23</v>
      </c>
      <c r="F42" s="75" t="s">
        <v>570</v>
      </c>
      <c r="G42" s="76"/>
      <c r="H42" s="77"/>
      <c r="I42" s="78"/>
      <c r="J42" s="79" t="s">
        <v>332</v>
      </c>
      <c r="K42" s="8"/>
      <c r="L42" s="9"/>
      <c r="M42" s="154"/>
      <c r="N42" s="10"/>
    </row>
    <row r="43" spans="1:25" ht="24" customHeight="1" x14ac:dyDescent="0.25">
      <c r="A43" s="72" t="s">
        <v>29</v>
      </c>
      <c r="B43" s="80" t="s">
        <v>571</v>
      </c>
      <c r="C43" s="73">
        <v>44314</v>
      </c>
      <c r="D43" s="74" t="s">
        <v>56</v>
      </c>
      <c r="E43" s="74" t="s">
        <v>44</v>
      </c>
      <c r="F43" s="75" t="s">
        <v>572</v>
      </c>
      <c r="G43" s="76" t="s">
        <v>58</v>
      </c>
      <c r="H43" s="77" t="s">
        <v>573</v>
      </c>
      <c r="I43" s="78">
        <v>44314</v>
      </c>
      <c r="J43" s="79" t="s">
        <v>67</v>
      </c>
      <c r="K43" s="8" t="s">
        <v>574</v>
      </c>
      <c r="L43" s="126" t="s">
        <v>575</v>
      </c>
      <c r="M43" s="165">
        <v>1476025.7776729099</v>
      </c>
      <c r="N43" s="10"/>
    </row>
    <row r="44" spans="1:25" ht="27" customHeight="1" x14ac:dyDescent="0.25">
      <c r="A44" s="72" t="s">
        <v>29</v>
      </c>
      <c r="B44" s="80" t="s">
        <v>576</v>
      </c>
      <c r="C44" s="73"/>
      <c r="D44" s="74" t="s">
        <v>56</v>
      </c>
      <c r="E44" s="74" t="s">
        <v>69</v>
      </c>
      <c r="F44" s="75" t="s">
        <v>577</v>
      </c>
      <c r="G44" s="76" t="s">
        <v>49</v>
      </c>
      <c r="H44" s="77" t="s">
        <v>578</v>
      </c>
      <c r="I44" s="73">
        <v>44315</v>
      </c>
      <c r="J44" s="79" t="s">
        <v>332</v>
      </c>
      <c r="K44" s="8"/>
      <c r="L44" s="9"/>
      <c r="M44" s="154"/>
      <c r="N44" s="10"/>
    </row>
    <row r="45" spans="1:25" ht="35.25" customHeight="1" x14ac:dyDescent="0.25">
      <c r="A45" s="72" t="s">
        <v>29</v>
      </c>
      <c r="B45" s="80" t="s">
        <v>579</v>
      </c>
      <c r="C45" s="73">
        <v>44315</v>
      </c>
      <c r="D45" s="74" t="s">
        <v>56</v>
      </c>
      <c r="E45" s="74" t="s">
        <v>47</v>
      </c>
      <c r="F45" s="75" t="s">
        <v>580</v>
      </c>
      <c r="G45" s="76" t="s">
        <v>49</v>
      </c>
      <c r="H45" s="77" t="s">
        <v>291</v>
      </c>
      <c r="I45" s="78">
        <v>44315</v>
      </c>
      <c r="J45" s="79" t="s">
        <v>67</v>
      </c>
      <c r="K45" s="8"/>
      <c r="L45" s="9"/>
      <c r="M45" s="154"/>
      <c r="N45" s="10"/>
    </row>
    <row r="46" spans="1:25" ht="30" customHeight="1" x14ac:dyDescent="0.25">
      <c r="A46" s="72" t="s">
        <v>29</v>
      </c>
      <c r="B46" s="80" t="s">
        <v>581</v>
      </c>
      <c r="C46" s="73">
        <v>44314</v>
      </c>
      <c r="D46" s="74" t="s">
        <v>22</v>
      </c>
      <c r="E46" s="74" t="s">
        <v>23</v>
      </c>
      <c r="F46" s="75" t="s">
        <v>582</v>
      </c>
      <c r="G46" s="76" t="s">
        <v>49</v>
      </c>
      <c r="H46" s="77" t="s">
        <v>583</v>
      </c>
      <c r="I46" s="78">
        <v>44315</v>
      </c>
      <c r="J46" s="79" t="s">
        <v>332</v>
      </c>
      <c r="K46" s="125"/>
      <c r="L46" s="9"/>
      <c r="M46" s="154"/>
      <c r="N46" s="10"/>
    </row>
    <row r="47" spans="1:25" ht="19.5" customHeight="1" x14ac:dyDescent="0.25">
      <c r="A47" s="72" t="s">
        <v>29</v>
      </c>
      <c r="B47" s="80" t="s">
        <v>584</v>
      </c>
      <c r="C47" s="73">
        <v>44312</v>
      </c>
      <c r="D47" s="74" t="s">
        <v>22</v>
      </c>
      <c r="E47" s="74" t="s">
        <v>23</v>
      </c>
      <c r="F47" s="75" t="s">
        <v>585</v>
      </c>
      <c r="G47" s="76" t="s">
        <v>49</v>
      </c>
      <c r="H47" s="77" t="s">
        <v>583</v>
      </c>
      <c r="I47" s="78"/>
      <c r="J47" s="79" t="s">
        <v>332</v>
      </c>
      <c r="K47" s="8"/>
      <c r="L47" s="9"/>
      <c r="M47" s="154"/>
      <c r="N47" s="10"/>
    </row>
    <row r="48" spans="1:25" ht="46.2" x14ac:dyDescent="0.25">
      <c r="A48" s="72" t="s">
        <v>29</v>
      </c>
      <c r="B48" s="80" t="s">
        <v>586</v>
      </c>
      <c r="C48" s="73">
        <v>44319</v>
      </c>
      <c r="D48" s="74" t="s">
        <v>53</v>
      </c>
      <c r="E48" s="74" t="s">
        <v>36</v>
      </c>
      <c r="F48" s="75" t="s">
        <v>587</v>
      </c>
      <c r="G48" s="76" t="s">
        <v>116</v>
      </c>
      <c r="H48" s="77" t="s">
        <v>588</v>
      </c>
      <c r="I48" s="78"/>
      <c r="J48" s="79" t="s">
        <v>41</v>
      </c>
      <c r="K48" s="118">
        <v>246.5</v>
      </c>
      <c r="L48" s="127">
        <v>24</v>
      </c>
      <c r="M48" s="164">
        <f>K48*L48*95</f>
        <v>562020</v>
      </c>
      <c r="N48" s="10">
        <v>44319</v>
      </c>
    </row>
    <row r="49" spans="1:14" ht="23.4" x14ac:dyDescent="0.25">
      <c r="A49" s="72" t="s">
        <v>29</v>
      </c>
      <c r="B49" s="80" t="s">
        <v>589</v>
      </c>
      <c r="C49" s="73">
        <v>44322</v>
      </c>
      <c r="D49" s="74" t="s">
        <v>31</v>
      </c>
      <c r="E49" s="74" t="s">
        <v>69</v>
      </c>
      <c r="F49" s="75" t="s">
        <v>590</v>
      </c>
      <c r="G49" s="76" t="s">
        <v>113</v>
      </c>
      <c r="H49" s="77" t="s">
        <v>591</v>
      </c>
      <c r="I49" s="78"/>
      <c r="J49" s="79" t="s">
        <v>360</v>
      </c>
      <c r="K49" s="8"/>
      <c r="L49" s="9"/>
      <c r="M49" s="154"/>
      <c r="N49" s="10"/>
    </row>
    <row r="50" spans="1:14" ht="34.799999999999997" x14ac:dyDescent="0.25">
      <c r="A50" s="72" t="s">
        <v>29</v>
      </c>
      <c r="B50" s="80" t="s">
        <v>592</v>
      </c>
      <c r="C50" s="73">
        <v>44315</v>
      </c>
      <c r="D50" s="74" t="s">
        <v>61</v>
      </c>
      <c r="E50" s="74" t="s">
        <v>23</v>
      </c>
      <c r="F50" s="75" t="s">
        <v>593</v>
      </c>
      <c r="G50" s="76" t="s">
        <v>58</v>
      </c>
      <c r="H50" s="77" t="s">
        <v>270</v>
      </c>
      <c r="I50" s="78">
        <v>44327</v>
      </c>
      <c r="J50" s="79" t="s">
        <v>332</v>
      </c>
      <c r="K50" s="8"/>
      <c r="L50" s="9"/>
      <c r="M50" s="154"/>
      <c r="N50" s="10"/>
    </row>
    <row r="51" spans="1:14" ht="33.75" customHeight="1" x14ac:dyDescent="0.25">
      <c r="A51" s="72" t="s">
        <v>29</v>
      </c>
      <c r="B51" s="80" t="s">
        <v>594</v>
      </c>
      <c r="C51" s="73"/>
      <c r="D51" s="74"/>
      <c r="E51" s="74" t="s">
        <v>23</v>
      </c>
      <c r="F51" s="75"/>
      <c r="G51" s="76" t="s">
        <v>49</v>
      </c>
      <c r="H51" s="77" t="s">
        <v>595</v>
      </c>
      <c r="I51" s="78">
        <v>44328</v>
      </c>
      <c r="J51" s="79" t="s">
        <v>332</v>
      </c>
      <c r="K51" s="8"/>
      <c r="L51" s="9"/>
      <c r="M51" s="154"/>
      <c r="N51" s="10"/>
    </row>
    <row r="52" spans="1:14" ht="23.4" x14ac:dyDescent="0.25">
      <c r="A52" s="72" t="s">
        <v>29</v>
      </c>
      <c r="B52" s="80" t="s">
        <v>596</v>
      </c>
      <c r="C52" s="73">
        <v>44331</v>
      </c>
      <c r="D52" s="74" t="s">
        <v>56</v>
      </c>
      <c r="E52" s="74" t="s">
        <v>23</v>
      </c>
      <c r="F52" s="75" t="s">
        <v>597</v>
      </c>
      <c r="G52" s="76" t="s">
        <v>37</v>
      </c>
      <c r="H52" s="77" t="s">
        <v>230</v>
      </c>
      <c r="I52" s="78">
        <v>44335</v>
      </c>
      <c r="J52" s="79" t="s">
        <v>27</v>
      </c>
      <c r="K52" s="8"/>
      <c r="L52" s="9"/>
      <c r="M52" s="154"/>
      <c r="N52" s="10"/>
    </row>
    <row r="53" spans="1:14" x14ac:dyDescent="0.25">
      <c r="A53" s="72" t="s">
        <v>20</v>
      </c>
      <c r="B53" s="80" t="s">
        <v>598</v>
      </c>
      <c r="C53" s="73">
        <v>44337</v>
      </c>
      <c r="D53" s="74" t="s">
        <v>56</v>
      </c>
      <c r="E53" s="74" t="s">
        <v>23</v>
      </c>
      <c r="F53" s="75" t="s">
        <v>599</v>
      </c>
      <c r="G53" s="76" t="s">
        <v>37</v>
      </c>
      <c r="H53" s="77" t="s">
        <v>600</v>
      </c>
      <c r="I53" s="78"/>
      <c r="J53" s="79" t="s">
        <v>27</v>
      </c>
      <c r="K53" s="8"/>
      <c r="L53" s="9"/>
      <c r="M53" s="154"/>
      <c r="N53" s="10"/>
    </row>
    <row r="54" spans="1:14" ht="23.4" x14ac:dyDescent="0.25">
      <c r="A54" s="72" t="s">
        <v>29</v>
      </c>
      <c r="B54" s="80" t="s">
        <v>601</v>
      </c>
      <c r="C54" s="73">
        <v>44342</v>
      </c>
      <c r="D54" s="74" t="s">
        <v>76</v>
      </c>
      <c r="E54" s="74" t="s">
        <v>23</v>
      </c>
      <c r="F54" s="75" t="s">
        <v>602</v>
      </c>
      <c r="G54" s="76" t="s">
        <v>49</v>
      </c>
      <c r="H54" s="77" t="s">
        <v>583</v>
      </c>
      <c r="I54" s="78">
        <v>44342</v>
      </c>
      <c r="J54" s="79" t="s">
        <v>332</v>
      </c>
      <c r="K54" s="8"/>
      <c r="L54" s="9"/>
      <c r="M54" s="154"/>
      <c r="N54" s="10"/>
    </row>
    <row r="55" spans="1:14" ht="19.5" customHeight="1" x14ac:dyDescent="0.25">
      <c r="A55" s="72" t="s">
        <v>20</v>
      </c>
      <c r="B55" s="80" t="s">
        <v>603</v>
      </c>
      <c r="C55" s="73">
        <v>44342</v>
      </c>
      <c r="D55" s="74" t="s">
        <v>76</v>
      </c>
      <c r="E55" s="74" t="s">
        <v>23</v>
      </c>
      <c r="F55" t="s">
        <v>604</v>
      </c>
      <c r="G55" s="76" t="s">
        <v>58</v>
      </c>
      <c r="H55" s="77"/>
      <c r="I55" s="78">
        <v>44343</v>
      </c>
      <c r="J55" s="79" t="s">
        <v>332</v>
      </c>
      <c r="K55" s="8"/>
      <c r="L55" s="9"/>
      <c r="M55" s="154"/>
      <c r="N55" s="10"/>
    </row>
    <row r="56" spans="1:14" x14ac:dyDescent="0.25">
      <c r="A56" s="72" t="s">
        <v>29</v>
      </c>
      <c r="B56" s="80" t="s">
        <v>605</v>
      </c>
      <c r="C56" s="73">
        <v>44343</v>
      </c>
      <c r="D56" s="74"/>
      <c r="E56" s="74" t="s">
        <v>23</v>
      </c>
      <c r="F56" s="75"/>
      <c r="G56" s="76" t="s">
        <v>49</v>
      </c>
      <c r="H56" s="77" t="s">
        <v>583</v>
      </c>
      <c r="I56" s="78">
        <v>44343</v>
      </c>
      <c r="J56" s="79" t="s">
        <v>332</v>
      </c>
      <c r="K56" s="8"/>
      <c r="L56" s="9"/>
      <c r="M56" s="154"/>
      <c r="N56" s="10"/>
    </row>
    <row r="57" spans="1:14" ht="23.4" x14ac:dyDescent="0.25">
      <c r="A57" s="72" t="s">
        <v>29</v>
      </c>
      <c r="B57" s="80" t="s">
        <v>606</v>
      </c>
      <c r="C57" s="73">
        <v>44347</v>
      </c>
      <c r="D57" s="74" t="s">
        <v>56</v>
      </c>
      <c r="E57" s="74" t="s">
        <v>23</v>
      </c>
      <c r="F57" s="75" t="s">
        <v>607</v>
      </c>
      <c r="G57" s="76" t="s">
        <v>135</v>
      </c>
      <c r="H57" s="77" t="s">
        <v>153</v>
      </c>
      <c r="I57" s="78">
        <v>44347</v>
      </c>
      <c r="J57" s="79" t="s">
        <v>27</v>
      </c>
      <c r="K57" s="8"/>
      <c r="L57" s="9"/>
      <c r="M57" s="154"/>
      <c r="N57" s="10"/>
    </row>
    <row r="58" spans="1:14" ht="23.4" x14ac:dyDescent="0.25">
      <c r="A58" s="72" t="s">
        <v>29</v>
      </c>
      <c r="B58" s="80" t="s">
        <v>608</v>
      </c>
      <c r="C58" s="73">
        <v>44348</v>
      </c>
      <c r="D58" s="74" t="s">
        <v>56</v>
      </c>
      <c r="E58" s="74" t="s">
        <v>44</v>
      </c>
      <c r="F58" s="75" t="s">
        <v>609</v>
      </c>
      <c r="G58" s="76" t="s">
        <v>49</v>
      </c>
      <c r="H58" s="77" t="s">
        <v>167</v>
      </c>
      <c r="I58" s="78">
        <v>44348</v>
      </c>
      <c r="J58" s="79" t="s">
        <v>67</v>
      </c>
      <c r="K58" s="8">
        <v>1696</v>
      </c>
      <c r="L58" s="9">
        <v>197</v>
      </c>
      <c r="M58" s="154">
        <f>+L58*K58</f>
        <v>334112</v>
      </c>
      <c r="N58" s="10"/>
    </row>
    <row r="59" spans="1:14" ht="23.4" x14ac:dyDescent="0.25">
      <c r="A59" s="72" t="s">
        <v>42</v>
      </c>
      <c r="B59" s="80" t="s">
        <v>610</v>
      </c>
      <c r="C59" s="73">
        <v>44348</v>
      </c>
      <c r="D59" s="74" t="s">
        <v>61</v>
      </c>
      <c r="E59" s="74" t="s">
        <v>23</v>
      </c>
      <c r="F59" s="75" t="s">
        <v>611</v>
      </c>
      <c r="G59" s="76" t="s">
        <v>135</v>
      </c>
      <c r="H59" s="77" t="s">
        <v>153</v>
      </c>
      <c r="I59" s="78">
        <v>44348</v>
      </c>
      <c r="J59" s="79" t="s">
        <v>27</v>
      </c>
      <c r="K59" s="8"/>
      <c r="L59" s="9"/>
      <c r="M59" s="154"/>
      <c r="N59" s="10"/>
    </row>
    <row r="60" spans="1:14" ht="23.4" x14ac:dyDescent="0.25">
      <c r="A60" s="72" t="s">
        <v>29</v>
      </c>
      <c r="B60" s="80" t="s">
        <v>612</v>
      </c>
      <c r="C60" s="73">
        <v>44351</v>
      </c>
      <c r="D60" s="74" t="s">
        <v>92</v>
      </c>
      <c r="E60" s="74" t="s">
        <v>23</v>
      </c>
      <c r="F60" s="75" t="s">
        <v>613</v>
      </c>
      <c r="G60" s="76" t="s">
        <v>58</v>
      </c>
      <c r="H60" s="77" t="s">
        <v>614</v>
      </c>
      <c r="I60" s="78">
        <v>44354</v>
      </c>
      <c r="J60" s="79" t="s">
        <v>332</v>
      </c>
      <c r="K60" s="8"/>
      <c r="L60" s="9"/>
      <c r="M60" s="154"/>
      <c r="N60" s="10"/>
    </row>
    <row r="61" spans="1:14" ht="30.75" customHeight="1" x14ac:dyDescent="0.25">
      <c r="A61" s="72" t="s">
        <v>29</v>
      </c>
      <c r="B61" s="80" t="s">
        <v>474</v>
      </c>
      <c r="C61" s="73">
        <v>44352</v>
      </c>
      <c r="D61" s="74" t="s">
        <v>61</v>
      </c>
      <c r="E61" s="74" t="s">
        <v>23</v>
      </c>
      <c r="F61" s="75"/>
      <c r="G61" s="76" t="s">
        <v>58</v>
      </c>
      <c r="H61" s="77" t="s">
        <v>270</v>
      </c>
      <c r="I61" s="78">
        <v>44354</v>
      </c>
      <c r="J61" s="79" t="s">
        <v>332</v>
      </c>
      <c r="K61" s="8"/>
      <c r="L61" s="9"/>
      <c r="M61" s="154"/>
      <c r="N61" s="10"/>
    </row>
    <row r="62" spans="1:14" ht="26.25" customHeight="1" x14ac:dyDescent="0.25">
      <c r="A62" s="72" t="s">
        <v>29</v>
      </c>
      <c r="B62" s="80" t="s">
        <v>615</v>
      </c>
      <c r="C62" s="73">
        <v>44353</v>
      </c>
      <c r="D62" s="74" t="s">
        <v>61</v>
      </c>
      <c r="E62" s="74" t="s">
        <v>23</v>
      </c>
      <c r="F62" s="75" t="s">
        <v>616</v>
      </c>
      <c r="G62" s="76" t="s">
        <v>58</v>
      </c>
      <c r="H62" s="77" t="s">
        <v>617</v>
      </c>
      <c r="I62" s="78">
        <v>44354</v>
      </c>
      <c r="J62" s="79" t="s">
        <v>332</v>
      </c>
      <c r="K62" s="8"/>
      <c r="L62" s="9"/>
      <c r="M62" s="154"/>
      <c r="N62" s="10"/>
    </row>
    <row r="63" spans="1:14" ht="27.75" customHeight="1" x14ac:dyDescent="0.25">
      <c r="A63" s="72" t="s">
        <v>29</v>
      </c>
      <c r="B63" s="80" t="s">
        <v>618</v>
      </c>
      <c r="C63" s="73">
        <v>44354</v>
      </c>
      <c r="D63" s="74"/>
      <c r="E63" s="74" t="s">
        <v>23</v>
      </c>
      <c r="F63" s="75" t="s">
        <v>616</v>
      </c>
      <c r="G63" s="76" t="s">
        <v>49</v>
      </c>
      <c r="H63" s="77" t="s">
        <v>619</v>
      </c>
      <c r="I63" s="78">
        <v>44354</v>
      </c>
      <c r="J63" s="79" t="s">
        <v>332</v>
      </c>
      <c r="K63" s="8"/>
      <c r="L63" s="9"/>
      <c r="M63" s="154"/>
      <c r="N63" s="10"/>
    </row>
    <row r="64" spans="1:14" ht="24" customHeight="1" x14ac:dyDescent="0.25">
      <c r="A64" s="72" t="s">
        <v>29</v>
      </c>
      <c r="B64" s="80" t="s">
        <v>620</v>
      </c>
      <c r="C64" s="73">
        <v>44363</v>
      </c>
      <c r="D64" s="74" t="s">
        <v>56</v>
      </c>
      <c r="E64" s="74" t="s">
        <v>23</v>
      </c>
      <c r="F64" s="75" t="s">
        <v>621</v>
      </c>
      <c r="G64" s="76" t="s">
        <v>25</v>
      </c>
      <c r="H64" s="77"/>
      <c r="I64" s="78">
        <v>44363</v>
      </c>
      <c r="J64" s="79" t="s">
        <v>360</v>
      </c>
      <c r="K64" s="8"/>
      <c r="L64" s="9"/>
      <c r="M64" s="154"/>
      <c r="N64" s="10"/>
    </row>
    <row r="65" spans="1:14" s="102" customFormat="1" ht="38.25" customHeight="1" x14ac:dyDescent="0.2">
      <c r="A65" s="72" t="s">
        <v>29</v>
      </c>
      <c r="B65" s="80" t="s">
        <v>622</v>
      </c>
      <c r="C65" s="73">
        <v>44364</v>
      </c>
      <c r="D65" s="74" t="s">
        <v>56</v>
      </c>
      <c r="E65" s="74" t="s">
        <v>44</v>
      </c>
      <c r="F65" s="75" t="s">
        <v>623</v>
      </c>
      <c r="G65" s="76" t="s">
        <v>25</v>
      </c>
      <c r="H65" s="77"/>
      <c r="I65" s="78">
        <v>44364</v>
      </c>
      <c r="J65" s="79" t="s">
        <v>360</v>
      </c>
      <c r="K65" s="8">
        <f>15614*107</f>
        <v>1670698</v>
      </c>
      <c r="L65" s="9">
        <v>1</v>
      </c>
      <c r="M65" s="154">
        <f>+L65*K65</f>
        <v>1670698</v>
      </c>
      <c r="N65" s="10"/>
    </row>
    <row r="66" spans="1:14" ht="27.75" customHeight="1" x14ac:dyDescent="0.25">
      <c r="A66" s="72" t="s">
        <v>29</v>
      </c>
      <c r="B66" s="80" t="s">
        <v>624</v>
      </c>
      <c r="C66" s="73">
        <v>44369</v>
      </c>
      <c r="D66" s="74" t="s">
        <v>56</v>
      </c>
      <c r="E66" s="74" t="s">
        <v>23</v>
      </c>
      <c r="F66" s="75" t="s">
        <v>625</v>
      </c>
      <c r="G66" s="76" t="s">
        <v>93</v>
      </c>
      <c r="H66" s="77" t="s">
        <v>626</v>
      </c>
      <c r="I66" s="78">
        <v>44369</v>
      </c>
      <c r="J66" s="79" t="s">
        <v>52</v>
      </c>
      <c r="K66" s="8"/>
      <c r="L66" s="9"/>
      <c r="M66" s="154"/>
      <c r="N66" s="10"/>
    </row>
    <row r="67" spans="1:14" ht="27" customHeight="1" x14ac:dyDescent="0.25">
      <c r="A67" s="72" t="s">
        <v>29</v>
      </c>
      <c r="B67" s="80" t="s">
        <v>627</v>
      </c>
      <c r="C67" s="73">
        <v>44328</v>
      </c>
      <c r="D67" s="74" t="s">
        <v>43</v>
      </c>
      <c r="E67" s="74" t="s">
        <v>23</v>
      </c>
      <c r="F67" s="75" t="s">
        <v>628</v>
      </c>
      <c r="G67" s="76" t="s">
        <v>58</v>
      </c>
      <c r="H67" s="77" t="s">
        <v>279</v>
      </c>
      <c r="I67" s="78">
        <v>44370</v>
      </c>
      <c r="J67" s="79" t="s">
        <v>332</v>
      </c>
      <c r="K67" s="8"/>
      <c r="L67" s="9"/>
      <c r="M67" s="154"/>
      <c r="N67" s="10"/>
    </row>
    <row r="68" spans="1:14" x14ac:dyDescent="0.25">
      <c r="A68" s="72" t="s">
        <v>29</v>
      </c>
      <c r="B68" s="80" t="s">
        <v>629</v>
      </c>
      <c r="C68" s="73">
        <v>44329</v>
      </c>
      <c r="D68" s="74" t="s">
        <v>56</v>
      </c>
      <c r="E68" s="74" t="s">
        <v>23</v>
      </c>
      <c r="F68" s="75" t="s">
        <v>630</v>
      </c>
      <c r="G68" s="76" t="s">
        <v>49</v>
      </c>
      <c r="H68" s="77" t="s">
        <v>134</v>
      </c>
      <c r="I68" s="78"/>
      <c r="J68" s="79" t="s">
        <v>332</v>
      </c>
      <c r="K68" s="8"/>
      <c r="L68" s="9"/>
      <c r="M68" s="154"/>
      <c r="N68" s="10"/>
    </row>
    <row r="69" spans="1:14" ht="23.4" x14ac:dyDescent="0.25">
      <c r="A69" s="72" t="s">
        <v>29</v>
      </c>
      <c r="B69" s="80" t="s">
        <v>631</v>
      </c>
      <c r="C69" s="73">
        <v>44363</v>
      </c>
      <c r="D69" s="74" t="s">
        <v>35</v>
      </c>
      <c r="E69" s="74" t="s">
        <v>47</v>
      </c>
      <c r="F69" s="75" t="s">
        <v>632</v>
      </c>
      <c r="G69" s="76" t="s">
        <v>37</v>
      </c>
      <c r="H69" s="77" t="s">
        <v>633</v>
      </c>
      <c r="I69" s="78">
        <v>44376</v>
      </c>
      <c r="J69" s="79" t="s">
        <v>41</v>
      </c>
      <c r="K69" s="8"/>
      <c r="L69" s="9"/>
      <c r="M69" s="154"/>
      <c r="N69" s="10"/>
    </row>
    <row r="70" spans="1:14" ht="30" customHeight="1" x14ac:dyDescent="0.25">
      <c r="A70" s="72"/>
      <c r="B70" s="80" t="s">
        <v>634</v>
      </c>
      <c r="C70" s="73">
        <v>44378</v>
      </c>
      <c r="D70" s="74" t="s">
        <v>35</v>
      </c>
      <c r="E70" s="74" t="s">
        <v>23</v>
      </c>
      <c r="F70" s="75" t="s">
        <v>635</v>
      </c>
      <c r="G70" s="76" t="s">
        <v>88</v>
      </c>
      <c r="H70" s="77" t="s">
        <v>535</v>
      </c>
      <c r="I70" s="78">
        <v>44363</v>
      </c>
      <c r="J70" s="79" t="s">
        <v>332</v>
      </c>
      <c r="K70" s="8"/>
      <c r="L70" s="9"/>
      <c r="M70" s="154"/>
      <c r="N70" s="10"/>
    </row>
    <row r="71" spans="1:14" ht="27.75" customHeight="1" x14ac:dyDescent="0.25">
      <c r="A71" s="72" t="s">
        <v>29</v>
      </c>
      <c r="B71" s="80" t="s">
        <v>636</v>
      </c>
      <c r="C71" s="73">
        <v>44383</v>
      </c>
      <c r="D71" s="74" t="s">
        <v>56</v>
      </c>
      <c r="E71" s="74" t="s">
        <v>44</v>
      </c>
      <c r="F71" s="75" t="s">
        <v>637</v>
      </c>
      <c r="G71" s="76" t="s">
        <v>97</v>
      </c>
      <c r="H71" s="77" t="s">
        <v>638</v>
      </c>
      <c r="I71" s="78">
        <v>44383</v>
      </c>
      <c r="J71" s="79" t="s">
        <v>360</v>
      </c>
      <c r="K71" s="8"/>
      <c r="L71" s="9"/>
      <c r="M71" s="154"/>
      <c r="N71" s="10"/>
    </row>
    <row r="72" spans="1:14" ht="22.8" x14ac:dyDescent="0.25">
      <c r="A72" s="106" t="s">
        <v>29</v>
      </c>
      <c r="B72" s="107" t="s">
        <v>639</v>
      </c>
      <c r="C72" s="108">
        <v>44390</v>
      </c>
      <c r="D72" s="109" t="s">
        <v>43</v>
      </c>
      <c r="E72" s="109" t="s">
        <v>44</v>
      </c>
      <c r="F72" s="110" t="s">
        <v>640</v>
      </c>
      <c r="G72" s="111" t="s">
        <v>37</v>
      </c>
      <c r="H72" s="112" t="s">
        <v>641</v>
      </c>
      <c r="I72" s="113">
        <v>44398</v>
      </c>
      <c r="J72" s="114" t="s">
        <v>27</v>
      </c>
      <c r="K72" s="8">
        <f>M72/L72</f>
        <v>10865.281818181818</v>
      </c>
      <c r="L72" s="9">
        <v>44</v>
      </c>
      <c r="M72" s="154">
        <v>478072.4</v>
      </c>
      <c r="N72" s="10"/>
    </row>
    <row r="73" spans="1:14" ht="23.25" customHeight="1" x14ac:dyDescent="0.25">
      <c r="A73" s="72" t="s">
        <v>29</v>
      </c>
      <c r="B73" s="80" t="s">
        <v>642</v>
      </c>
      <c r="C73" s="73">
        <v>44403</v>
      </c>
      <c r="D73" s="74" t="s">
        <v>56</v>
      </c>
      <c r="E73" s="74" t="s">
        <v>23</v>
      </c>
      <c r="F73" s="75" t="s">
        <v>643</v>
      </c>
      <c r="G73" s="76" t="s">
        <v>125</v>
      </c>
      <c r="H73" s="77" t="s">
        <v>372</v>
      </c>
      <c r="I73" s="78">
        <v>44403</v>
      </c>
      <c r="J73" s="79" t="s">
        <v>27</v>
      </c>
      <c r="K73" s="8"/>
      <c r="L73" s="9"/>
      <c r="M73" s="154"/>
      <c r="N73" s="10"/>
    </row>
    <row r="74" spans="1:14" ht="23.4" x14ac:dyDescent="0.25">
      <c r="A74" s="72" t="s">
        <v>29</v>
      </c>
      <c r="B74" s="80" t="s">
        <v>644</v>
      </c>
      <c r="C74" s="73">
        <v>44404</v>
      </c>
      <c r="D74" s="74" t="s">
        <v>56</v>
      </c>
      <c r="E74" s="74" t="s">
        <v>23</v>
      </c>
      <c r="F74" s="75" t="s">
        <v>645</v>
      </c>
      <c r="G74" s="76" t="s">
        <v>135</v>
      </c>
      <c r="H74" s="77" t="s">
        <v>213</v>
      </c>
      <c r="I74" s="78">
        <v>44404</v>
      </c>
      <c r="J74" s="79" t="s">
        <v>27</v>
      </c>
      <c r="K74" s="8"/>
      <c r="L74" s="9"/>
      <c r="M74" s="154"/>
      <c r="N74" s="10"/>
    </row>
    <row r="75" spans="1:14" ht="26.25" customHeight="1" x14ac:dyDescent="0.25">
      <c r="A75" s="72"/>
      <c r="B75" s="80" t="s">
        <v>646</v>
      </c>
      <c r="C75" s="73">
        <v>44405</v>
      </c>
      <c r="D75" s="74" t="s">
        <v>56</v>
      </c>
      <c r="E75" s="74" t="s">
        <v>23</v>
      </c>
      <c r="F75" s="75" t="s">
        <v>647</v>
      </c>
      <c r="G75" s="76" t="s">
        <v>54</v>
      </c>
      <c r="H75" s="77" t="s">
        <v>648</v>
      </c>
      <c r="I75" s="78">
        <v>44406</v>
      </c>
      <c r="J75" s="79" t="s">
        <v>332</v>
      </c>
      <c r="K75" s="8"/>
      <c r="L75" s="9"/>
      <c r="M75" s="154"/>
      <c r="N75" s="10"/>
    </row>
    <row r="76" spans="1:14" ht="23.4" x14ac:dyDescent="0.25">
      <c r="A76" s="72" t="s">
        <v>29</v>
      </c>
      <c r="B76" s="80" t="s">
        <v>649</v>
      </c>
      <c r="C76" s="73">
        <v>44411</v>
      </c>
      <c r="D76" s="74" t="s">
        <v>56</v>
      </c>
      <c r="E76" s="74" t="s">
        <v>23</v>
      </c>
      <c r="F76" s="75" t="s">
        <v>650</v>
      </c>
      <c r="G76" s="76"/>
      <c r="H76" s="77"/>
      <c r="I76" s="78" t="s">
        <v>651</v>
      </c>
      <c r="J76" s="79" t="s">
        <v>360</v>
      </c>
      <c r="K76" s="8"/>
      <c r="L76" s="9"/>
      <c r="M76" s="154"/>
      <c r="N76" s="10"/>
    </row>
    <row r="77" spans="1:14" ht="26.25" customHeight="1" x14ac:dyDescent="0.25">
      <c r="A77" s="72" t="s">
        <v>29</v>
      </c>
      <c r="B77" s="80" t="s">
        <v>652</v>
      </c>
      <c r="C77" s="73">
        <v>44414</v>
      </c>
      <c r="D77" s="74" t="s">
        <v>56</v>
      </c>
      <c r="E77" s="74" t="s">
        <v>23</v>
      </c>
      <c r="F77" s="75" t="s">
        <v>653</v>
      </c>
      <c r="G77" s="76" t="s">
        <v>116</v>
      </c>
      <c r="H77" s="76" t="s">
        <v>264</v>
      </c>
      <c r="I77" s="78">
        <v>44414</v>
      </c>
      <c r="J77" s="79" t="s">
        <v>27</v>
      </c>
      <c r="K77" s="8"/>
      <c r="L77" s="9"/>
      <c r="M77" s="154"/>
      <c r="N77" s="10"/>
    </row>
    <row r="78" spans="1:14" ht="22.8" x14ac:dyDescent="0.25">
      <c r="A78" s="106" t="s">
        <v>29</v>
      </c>
      <c r="B78" s="107" t="s">
        <v>654</v>
      </c>
      <c r="C78" s="108">
        <v>44414</v>
      </c>
      <c r="D78" s="109" t="s">
        <v>61</v>
      </c>
      <c r="E78" s="109" t="s">
        <v>23</v>
      </c>
      <c r="F78" s="110" t="s">
        <v>655</v>
      </c>
      <c r="G78" s="111" t="s">
        <v>116</v>
      </c>
      <c r="H78" s="112" t="s">
        <v>588</v>
      </c>
      <c r="I78" s="113">
        <v>44414</v>
      </c>
      <c r="J78" s="114" t="s">
        <v>27</v>
      </c>
      <c r="K78" s="8"/>
      <c r="L78" s="9"/>
      <c r="M78" s="154"/>
      <c r="N78" s="10"/>
    </row>
    <row r="79" spans="1:14" s="68" customFormat="1" ht="33.75" customHeight="1" x14ac:dyDescent="0.25">
      <c r="A79" s="106" t="s">
        <v>29</v>
      </c>
      <c r="B79" s="107" t="s">
        <v>656</v>
      </c>
      <c r="C79" s="108">
        <v>44418</v>
      </c>
      <c r="D79" s="109" t="s">
        <v>56</v>
      </c>
      <c r="E79" s="109" t="s">
        <v>47</v>
      </c>
      <c r="F79" s="110" t="s">
        <v>657</v>
      </c>
      <c r="G79" s="111" t="s">
        <v>37</v>
      </c>
      <c r="H79" s="112" t="s">
        <v>658</v>
      </c>
      <c r="I79" s="113">
        <v>44418</v>
      </c>
      <c r="J79" s="114" t="s">
        <v>27</v>
      </c>
      <c r="K79" s="8"/>
      <c r="L79" s="9"/>
      <c r="M79" s="154"/>
      <c r="N79" s="10"/>
    </row>
    <row r="80" spans="1:14" ht="26.25" customHeight="1" x14ac:dyDescent="0.25">
      <c r="A80" s="72" t="s">
        <v>29</v>
      </c>
      <c r="B80" s="80" t="s">
        <v>659</v>
      </c>
      <c r="C80" s="73">
        <v>44425</v>
      </c>
      <c r="D80" s="74" t="s">
        <v>56</v>
      </c>
      <c r="E80" s="74" t="s">
        <v>23</v>
      </c>
      <c r="F80" s="75" t="s">
        <v>660</v>
      </c>
      <c r="G80" s="76" t="s">
        <v>116</v>
      </c>
      <c r="H80" s="77" t="s">
        <v>661</v>
      </c>
      <c r="I80" s="78">
        <v>44425</v>
      </c>
      <c r="J80" s="79" t="s">
        <v>27</v>
      </c>
      <c r="K80" s="8"/>
      <c r="L80" s="9"/>
      <c r="M80" s="154"/>
      <c r="N80" s="10"/>
    </row>
    <row r="81" spans="1:14" ht="23.4" x14ac:dyDescent="0.25">
      <c r="A81" s="72" t="s">
        <v>20</v>
      </c>
      <c r="B81" s="80" t="s">
        <v>662</v>
      </c>
      <c r="C81" s="73">
        <v>44426</v>
      </c>
      <c r="D81" s="74" t="s">
        <v>22</v>
      </c>
      <c r="E81" s="74" t="s">
        <v>23</v>
      </c>
      <c r="F81" s="75" t="s">
        <v>663</v>
      </c>
      <c r="G81" s="76" t="s">
        <v>37</v>
      </c>
      <c r="H81" s="77" t="s">
        <v>504</v>
      </c>
      <c r="I81" s="78">
        <v>44395</v>
      </c>
      <c r="J81" s="79" t="s">
        <v>27</v>
      </c>
      <c r="K81" s="128"/>
      <c r="L81" s="9"/>
      <c r="M81" s="154"/>
      <c r="N81" s="10"/>
    </row>
    <row r="82" spans="1:14" x14ac:dyDescent="0.25">
      <c r="A82" s="72" t="s">
        <v>29</v>
      </c>
      <c r="B82" s="80" t="s">
        <v>664</v>
      </c>
      <c r="C82" s="73">
        <v>44427</v>
      </c>
      <c r="D82" s="74" t="s">
        <v>56</v>
      </c>
      <c r="E82" s="74" t="s">
        <v>23</v>
      </c>
      <c r="F82" s="75" t="s">
        <v>665</v>
      </c>
      <c r="G82" s="76" t="s">
        <v>88</v>
      </c>
      <c r="H82" s="77" t="s">
        <v>666</v>
      </c>
      <c r="I82" s="78"/>
      <c r="J82" s="79" t="s">
        <v>332</v>
      </c>
      <c r="K82" s="128"/>
      <c r="L82" s="9"/>
      <c r="M82" s="154"/>
      <c r="N82" s="10"/>
    </row>
    <row r="83" spans="1:14" ht="34.799999999999997" x14ac:dyDescent="0.25">
      <c r="A83" s="72" t="s">
        <v>29</v>
      </c>
      <c r="B83" s="80" t="s">
        <v>667</v>
      </c>
      <c r="C83" s="73">
        <v>44431</v>
      </c>
      <c r="D83" s="74" t="s">
        <v>56</v>
      </c>
      <c r="E83" s="74" t="s">
        <v>47</v>
      </c>
      <c r="F83" s="75" t="s">
        <v>668</v>
      </c>
      <c r="G83" s="76" t="s">
        <v>88</v>
      </c>
      <c r="H83" s="77" t="s">
        <v>535</v>
      </c>
      <c r="I83" s="78"/>
      <c r="J83" s="79" t="s">
        <v>41</v>
      </c>
      <c r="K83" s="8"/>
      <c r="L83" s="9"/>
      <c r="M83" s="154"/>
      <c r="N83" s="10"/>
    </row>
    <row r="84" spans="1:14" ht="23.4" x14ac:dyDescent="0.25">
      <c r="A84" s="72" t="s">
        <v>29</v>
      </c>
      <c r="B84" s="80" t="s">
        <v>669</v>
      </c>
      <c r="C84" s="73">
        <v>44432</v>
      </c>
      <c r="D84" s="74" t="s">
        <v>56</v>
      </c>
      <c r="E84" s="74" t="s">
        <v>23</v>
      </c>
      <c r="F84" s="75" t="s">
        <v>670</v>
      </c>
      <c r="G84" s="76" t="s">
        <v>135</v>
      </c>
      <c r="H84" s="77" t="s">
        <v>671</v>
      </c>
      <c r="I84" s="78">
        <v>44432</v>
      </c>
      <c r="J84" s="79" t="s">
        <v>27</v>
      </c>
      <c r="K84" s="8"/>
      <c r="L84" s="9"/>
      <c r="M84" s="154"/>
      <c r="N84" s="10"/>
    </row>
    <row r="85" spans="1:14" ht="23.4" x14ac:dyDescent="0.25">
      <c r="A85" s="72" t="s">
        <v>29</v>
      </c>
      <c r="B85" s="80" t="s">
        <v>672</v>
      </c>
      <c r="C85" s="73">
        <v>44438</v>
      </c>
      <c r="D85" s="74" t="s">
        <v>56</v>
      </c>
      <c r="E85" s="74" t="s">
        <v>23</v>
      </c>
      <c r="F85" s="75" t="s">
        <v>673</v>
      </c>
      <c r="G85" s="76" t="s">
        <v>25</v>
      </c>
      <c r="H85" s="77" t="s">
        <v>25</v>
      </c>
      <c r="I85" s="78"/>
      <c r="J85" s="79" t="s">
        <v>360</v>
      </c>
      <c r="K85" s="8"/>
      <c r="L85" s="9"/>
      <c r="M85" s="154"/>
      <c r="N85" s="10"/>
    </row>
    <row r="86" spans="1:14" x14ac:dyDescent="0.25">
      <c r="A86" s="72"/>
      <c r="B86" s="80" t="s">
        <v>674</v>
      </c>
      <c r="C86" s="73">
        <v>44441</v>
      </c>
      <c r="D86" s="74" t="s">
        <v>56</v>
      </c>
      <c r="E86" s="74" t="s">
        <v>23</v>
      </c>
      <c r="F86" s="75" t="s">
        <v>665</v>
      </c>
      <c r="G86" s="76" t="s">
        <v>37</v>
      </c>
      <c r="H86" s="77" t="s">
        <v>675</v>
      </c>
      <c r="I86" s="78"/>
      <c r="J86" s="79" t="s">
        <v>332</v>
      </c>
      <c r="K86" s="8"/>
      <c r="L86" s="9"/>
      <c r="M86" s="154"/>
      <c r="N86" s="10"/>
    </row>
    <row r="87" spans="1:14" ht="21.75" customHeight="1" x14ac:dyDescent="0.25">
      <c r="A87" s="72"/>
      <c r="B87" s="80" t="s">
        <v>676</v>
      </c>
      <c r="C87" s="73">
        <v>44448</v>
      </c>
      <c r="D87" s="74" t="s">
        <v>56</v>
      </c>
      <c r="E87" s="74" t="s">
        <v>23</v>
      </c>
      <c r="F87" s="75" t="s">
        <v>677</v>
      </c>
      <c r="G87" s="76" t="s">
        <v>58</v>
      </c>
      <c r="H87" s="77" t="s">
        <v>678</v>
      </c>
      <c r="I87" s="78">
        <v>44448</v>
      </c>
      <c r="J87" s="79" t="s">
        <v>332</v>
      </c>
      <c r="K87" s="8"/>
      <c r="L87" s="9"/>
      <c r="M87" s="154"/>
      <c r="N87" s="10"/>
    </row>
    <row r="88" spans="1:14" x14ac:dyDescent="0.25">
      <c r="A88" s="72" t="s">
        <v>29</v>
      </c>
      <c r="B88" s="80" t="s">
        <v>679</v>
      </c>
      <c r="C88" s="73">
        <v>44449</v>
      </c>
      <c r="D88" s="74" t="s">
        <v>61</v>
      </c>
      <c r="E88" s="74" t="s">
        <v>47</v>
      </c>
      <c r="F88" s="75" t="s">
        <v>680</v>
      </c>
      <c r="G88" s="76" t="s">
        <v>37</v>
      </c>
      <c r="H88" s="77" t="s">
        <v>230</v>
      </c>
      <c r="I88" s="78">
        <v>44449</v>
      </c>
      <c r="J88" s="79" t="s">
        <v>27</v>
      </c>
      <c r="K88" s="128"/>
      <c r="L88" s="9"/>
      <c r="M88" s="154"/>
      <c r="N88" s="10"/>
    </row>
    <row r="89" spans="1:14" x14ac:dyDescent="0.25">
      <c r="A89" s="72" t="s">
        <v>29</v>
      </c>
      <c r="B89" s="80" t="s">
        <v>681</v>
      </c>
      <c r="C89" s="73">
        <v>44449</v>
      </c>
      <c r="D89" s="74" t="s">
        <v>61</v>
      </c>
      <c r="E89" s="74" t="s">
        <v>23</v>
      </c>
      <c r="F89" s="75" t="s">
        <v>682</v>
      </c>
      <c r="G89" s="76" t="s">
        <v>116</v>
      </c>
      <c r="H89" s="77" t="s">
        <v>213</v>
      </c>
      <c r="I89" s="78">
        <v>44449</v>
      </c>
      <c r="J89" s="79" t="s">
        <v>27</v>
      </c>
      <c r="K89" s="128"/>
      <c r="L89" s="9"/>
      <c r="M89" s="154"/>
      <c r="N89" s="10"/>
    </row>
    <row r="90" spans="1:14" x14ac:dyDescent="0.25">
      <c r="A90" s="72" t="s">
        <v>29</v>
      </c>
      <c r="B90" s="80" t="s">
        <v>683</v>
      </c>
      <c r="C90" s="73">
        <v>44452</v>
      </c>
      <c r="D90" s="74" t="s">
        <v>56</v>
      </c>
      <c r="E90" s="74" t="s">
        <v>44</v>
      </c>
      <c r="F90" s="75" t="s">
        <v>684</v>
      </c>
      <c r="G90" s="76" t="s">
        <v>116</v>
      </c>
      <c r="H90" s="77" t="s">
        <v>685</v>
      </c>
      <c r="I90" s="78">
        <v>44485</v>
      </c>
      <c r="J90" s="79" t="s">
        <v>27</v>
      </c>
      <c r="K90" s="128">
        <f>M90/L90</f>
        <v>170792.57142857142</v>
      </c>
      <c r="L90" s="9">
        <v>7</v>
      </c>
      <c r="M90" s="154">
        <v>1195548</v>
      </c>
      <c r="N90" s="10"/>
    </row>
    <row r="91" spans="1:14" ht="23.4" x14ac:dyDescent="0.25">
      <c r="A91" s="72" t="s">
        <v>29</v>
      </c>
      <c r="B91" s="80" t="s">
        <v>686</v>
      </c>
      <c r="C91" s="73">
        <v>44453</v>
      </c>
      <c r="D91" s="74" t="s">
        <v>56</v>
      </c>
      <c r="E91" s="74" t="s">
        <v>23</v>
      </c>
      <c r="F91" s="75" t="s">
        <v>687</v>
      </c>
      <c r="G91" s="76" t="s">
        <v>116</v>
      </c>
      <c r="H91" s="77" t="s">
        <v>688</v>
      </c>
      <c r="I91" s="78">
        <v>44453</v>
      </c>
      <c r="J91" s="79" t="s">
        <v>41</v>
      </c>
      <c r="K91" s="8"/>
      <c r="L91" s="9"/>
      <c r="M91" s="154"/>
      <c r="N91" s="10"/>
    </row>
    <row r="92" spans="1:14" x14ac:dyDescent="0.25">
      <c r="A92" s="72" t="s">
        <v>29</v>
      </c>
      <c r="B92" s="80" t="s">
        <v>689</v>
      </c>
      <c r="C92" s="73"/>
      <c r="D92" s="74" t="s">
        <v>56</v>
      </c>
      <c r="E92" s="74" t="s">
        <v>23</v>
      </c>
      <c r="F92" s="75" t="s">
        <v>690</v>
      </c>
      <c r="G92" s="76" t="s">
        <v>25</v>
      </c>
      <c r="H92" s="77" t="s">
        <v>388</v>
      </c>
      <c r="I92" s="78"/>
      <c r="J92" s="79" t="s">
        <v>332</v>
      </c>
      <c r="K92" s="8"/>
      <c r="L92" s="129"/>
      <c r="M92" s="154">
        <f>32074.39*114</f>
        <v>3656480.46</v>
      </c>
      <c r="N92" s="10"/>
    </row>
    <row r="93" spans="1:14" ht="23.4" x14ac:dyDescent="0.25">
      <c r="A93" s="72" t="s">
        <v>20</v>
      </c>
      <c r="B93" s="80" t="s">
        <v>691</v>
      </c>
      <c r="C93" s="73">
        <v>44462</v>
      </c>
      <c r="D93" s="74" t="s">
        <v>43</v>
      </c>
      <c r="E93" s="74" t="s">
        <v>23</v>
      </c>
      <c r="F93" s="130" t="s">
        <v>692</v>
      </c>
      <c r="G93" s="76" t="s">
        <v>25</v>
      </c>
      <c r="H93" s="77"/>
      <c r="I93" s="78">
        <v>44462</v>
      </c>
      <c r="J93" s="79" t="s">
        <v>360</v>
      </c>
      <c r="K93" s="8"/>
      <c r="L93" s="9"/>
      <c r="M93" s="154"/>
      <c r="N93" s="10"/>
    </row>
    <row r="94" spans="1:14" x14ac:dyDescent="0.25">
      <c r="A94" s="72" t="s">
        <v>29</v>
      </c>
      <c r="B94" s="80" t="s">
        <v>693</v>
      </c>
      <c r="C94" s="73">
        <v>44473</v>
      </c>
      <c r="D94" s="74" t="s">
        <v>22</v>
      </c>
      <c r="E94" s="74" t="s">
        <v>44</v>
      </c>
      <c r="F94" s="75" t="s">
        <v>694</v>
      </c>
      <c r="G94" s="76" t="s">
        <v>58</v>
      </c>
      <c r="H94" s="77" t="s">
        <v>695</v>
      </c>
      <c r="I94" s="78">
        <v>44474</v>
      </c>
      <c r="J94" s="79" t="s">
        <v>332</v>
      </c>
      <c r="K94" s="8">
        <v>746</v>
      </c>
      <c r="L94" s="9">
        <v>150</v>
      </c>
      <c r="M94" s="154">
        <f>+L94*K94</f>
        <v>111900</v>
      </c>
      <c r="N94" s="10"/>
    </row>
    <row r="95" spans="1:14" x14ac:dyDescent="0.25">
      <c r="A95" s="72" t="s">
        <v>29</v>
      </c>
      <c r="B95" s="80" t="s">
        <v>696</v>
      </c>
      <c r="C95" s="73">
        <v>44482</v>
      </c>
      <c r="D95" s="74" t="s">
        <v>56</v>
      </c>
      <c r="E95" s="74" t="s">
        <v>47</v>
      </c>
      <c r="F95" s="75" t="s">
        <v>697</v>
      </c>
      <c r="G95" s="76" t="s">
        <v>135</v>
      </c>
      <c r="H95" s="77" t="s">
        <v>213</v>
      </c>
      <c r="I95" s="78"/>
      <c r="J95" s="79" t="s">
        <v>74</v>
      </c>
      <c r="K95" s="8"/>
      <c r="L95" s="9"/>
      <c r="M95" s="154"/>
      <c r="N95" s="10"/>
    </row>
    <row r="96" spans="1:14" x14ac:dyDescent="0.25">
      <c r="A96" s="119" t="s">
        <v>29</v>
      </c>
      <c r="B96" s="80" t="s">
        <v>698</v>
      </c>
      <c r="C96" s="108">
        <v>44487</v>
      </c>
      <c r="D96" s="109" t="s">
        <v>22</v>
      </c>
      <c r="E96" s="109" t="s">
        <v>23</v>
      </c>
      <c r="F96" s="131" t="s">
        <v>699</v>
      </c>
      <c r="G96" s="111" t="s">
        <v>25</v>
      </c>
      <c r="H96" s="112" t="s">
        <v>276</v>
      </c>
      <c r="I96" s="108">
        <v>44489</v>
      </c>
      <c r="J96" s="114" t="s">
        <v>360</v>
      </c>
      <c r="K96" s="8"/>
      <c r="L96" s="9"/>
      <c r="M96" s="154"/>
      <c r="N96" s="10"/>
    </row>
    <row r="97" spans="1:14" ht="22.8" x14ac:dyDescent="0.25">
      <c r="A97" s="119" t="s">
        <v>29</v>
      </c>
      <c r="B97" s="80" t="s">
        <v>700</v>
      </c>
      <c r="C97" s="108">
        <v>44490</v>
      </c>
      <c r="D97" s="109" t="s">
        <v>56</v>
      </c>
      <c r="E97" s="109" t="s">
        <v>23</v>
      </c>
      <c r="F97" s="131" t="s">
        <v>701</v>
      </c>
      <c r="G97" s="111" t="s">
        <v>25</v>
      </c>
      <c r="H97" s="112" t="s">
        <v>702</v>
      </c>
      <c r="I97" s="108">
        <v>44490</v>
      </c>
      <c r="J97" s="114" t="s">
        <v>360</v>
      </c>
      <c r="K97" s="8"/>
      <c r="L97" s="9"/>
      <c r="M97" s="154"/>
      <c r="N97" s="10"/>
    </row>
    <row r="98" spans="1:14" x14ac:dyDescent="0.25">
      <c r="A98" s="72" t="s">
        <v>29</v>
      </c>
      <c r="B98" s="80" t="s">
        <v>703</v>
      </c>
      <c r="C98" s="73">
        <v>44498</v>
      </c>
      <c r="D98" s="74" t="s">
        <v>61</v>
      </c>
      <c r="E98" s="74" t="s">
        <v>23</v>
      </c>
      <c r="F98" s="75" t="s">
        <v>704</v>
      </c>
      <c r="G98" s="76" t="s">
        <v>37</v>
      </c>
      <c r="H98" s="77"/>
      <c r="I98" s="78">
        <v>44516</v>
      </c>
      <c r="J98" s="79" t="s">
        <v>27</v>
      </c>
      <c r="K98" s="8"/>
      <c r="L98" s="9"/>
      <c r="M98" s="154"/>
      <c r="N98" s="10"/>
    </row>
    <row r="99" spans="1:14" ht="23.4" x14ac:dyDescent="0.25">
      <c r="A99" s="72" t="s">
        <v>20</v>
      </c>
      <c r="B99" s="80" t="s">
        <v>705</v>
      </c>
      <c r="C99" s="73">
        <v>44510</v>
      </c>
      <c r="D99" s="74" t="s">
        <v>56</v>
      </c>
      <c r="E99" s="74" t="s">
        <v>47</v>
      </c>
      <c r="F99" s="75" t="s">
        <v>706</v>
      </c>
      <c r="G99" s="76" t="s">
        <v>116</v>
      </c>
      <c r="H99" s="77" t="s">
        <v>688</v>
      </c>
      <c r="I99" s="78">
        <v>44510</v>
      </c>
      <c r="J99" s="79" t="s">
        <v>27</v>
      </c>
      <c r="K99" s="8"/>
      <c r="L99" s="9"/>
      <c r="M99" s="154"/>
      <c r="N99" s="10"/>
    </row>
    <row r="100" spans="1:14" x14ac:dyDescent="0.25">
      <c r="A100" s="72" t="s">
        <v>29</v>
      </c>
      <c r="B100" s="80" t="s">
        <v>707</v>
      </c>
      <c r="C100" s="73">
        <v>44491</v>
      </c>
      <c r="D100" s="74" t="s">
        <v>61</v>
      </c>
      <c r="E100" s="74" t="s">
        <v>23</v>
      </c>
      <c r="F100" s="75" t="s">
        <v>708</v>
      </c>
      <c r="G100" s="76" t="s">
        <v>135</v>
      </c>
      <c r="H100" s="77" t="s">
        <v>709</v>
      </c>
      <c r="I100" s="78">
        <v>44511</v>
      </c>
      <c r="J100" s="79" t="s">
        <v>27</v>
      </c>
      <c r="K100" s="8"/>
      <c r="L100" s="9"/>
      <c r="M100" s="154"/>
      <c r="N100" s="10"/>
    </row>
    <row r="101" spans="1:14" s="68" customFormat="1" x14ac:dyDescent="0.2">
      <c r="A101" s="72" t="s">
        <v>20</v>
      </c>
      <c r="B101" s="80" t="s">
        <v>710</v>
      </c>
      <c r="C101" s="73">
        <v>44515</v>
      </c>
      <c r="D101" s="74" t="s">
        <v>22</v>
      </c>
      <c r="E101" s="74" t="s">
        <v>23</v>
      </c>
      <c r="F101" s="75" t="s">
        <v>711</v>
      </c>
      <c r="G101" s="76" t="s">
        <v>37</v>
      </c>
      <c r="H101" s="77" t="s">
        <v>230</v>
      </c>
      <c r="I101" s="78">
        <v>44515</v>
      </c>
      <c r="J101" s="79" t="s">
        <v>27</v>
      </c>
      <c r="K101" s="8"/>
      <c r="L101" s="9"/>
      <c r="M101" s="154"/>
      <c r="N101" s="10"/>
    </row>
    <row r="102" spans="1:14" x14ac:dyDescent="0.25">
      <c r="A102" s="72"/>
      <c r="B102" s="80" t="s">
        <v>712</v>
      </c>
      <c r="C102" s="73">
        <v>44515</v>
      </c>
      <c r="D102" s="74"/>
      <c r="E102" s="74" t="s">
        <v>23</v>
      </c>
      <c r="F102" s="75" t="s">
        <v>713</v>
      </c>
      <c r="G102" s="76" t="s">
        <v>58</v>
      </c>
      <c r="H102" s="77" t="s">
        <v>714</v>
      </c>
      <c r="I102" s="78"/>
      <c r="J102" s="79" t="s">
        <v>332</v>
      </c>
      <c r="K102" s="8"/>
      <c r="L102" s="9"/>
      <c r="M102" s="154"/>
      <c r="N102" s="10"/>
    </row>
    <row r="103" spans="1:14" ht="23.4" x14ac:dyDescent="0.25">
      <c r="A103" s="72" t="s">
        <v>29</v>
      </c>
      <c r="B103" s="80" t="s">
        <v>715</v>
      </c>
      <c r="C103" s="73">
        <v>44517</v>
      </c>
      <c r="D103" s="74" t="s">
        <v>56</v>
      </c>
      <c r="E103" s="74" t="s">
        <v>44</v>
      </c>
      <c r="F103" s="75" t="s">
        <v>467</v>
      </c>
      <c r="G103" s="76" t="s">
        <v>135</v>
      </c>
      <c r="H103" s="77" t="s">
        <v>213</v>
      </c>
      <c r="I103" s="78">
        <v>44517</v>
      </c>
      <c r="J103" s="79" t="s">
        <v>27</v>
      </c>
      <c r="K103" s="8">
        <f>M103/L103</f>
        <v>1398</v>
      </c>
      <c r="L103" s="9">
        <v>14</v>
      </c>
      <c r="M103" s="154">
        <v>19572</v>
      </c>
      <c r="N103" s="10"/>
    </row>
    <row r="104" spans="1:14" ht="23.4" x14ac:dyDescent="0.25">
      <c r="A104" s="72" t="s">
        <v>29</v>
      </c>
      <c r="B104" s="80" t="s">
        <v>716</v>
      </c>
      <c r="C104" s="73">
        <v>44518</v>
      </c>
      <c r="D104" s="74" t="s">
        <v>56</v>
      </c>
      <c r="E104" s="74" t="s">
        <v>23</v>
      </c>
      <c r="F104" s="75" t="s">
        <v>717</v>
      </c>
      <c r="G104" s="76" t="s">
        <v>135</v>
      </c>
      <c r="H104" s="77" t="s">
        <v>671</v>
      </c>
      <c r="I104" s="78">
        <v>44518</v>
      </c>
      <c r="J104" s="79" t="s">
        <v>27</v>
      </c>
      <c r="K104" s="8"/>
      <c r="L104" s="9"/>
      <c r="M104" s="154"/>
      <c r="N104" s="10"/>
    </row>
    <row r="105" spans="1:14" ht="34.799999999999997" x14ac:dyDescent="0.25">
      <c r="A105" s="72" t="s">
        <v>29</v>
      </c>
      <c r="B105" s="80" t="s">
        <v>718</v>
      </c>
      <c r="C105" s="73">
        <v>44519</v>
      </c>
      <c r="D105" s="74" t="s">
        <v>56</v>
      </c>
      <c r="E105" s="74" t="s">
        <v>23</v>
      </c>
      <c r="F105" s="75" t="s">
        <v>719</v>
      </c>
      <c r="G105" s="76" t="s">
        <v>88</v>
      </c>
      <c r="H105" s="77" t="s">
        <v>720</v>
      </c>
      <c r="I105" s="78">
        <v>44519</v>
      </c>
      <c r="J105" s="79" t="s">
        <v>41</v>
      </c>
      <c r="K105" s="8"/>
      <c r="L105" s="9"/>
      <c r="M105" s="154"/>
      <c r="N105" s="10"/>
    </row>
    <row r="106" spans="1:14" ht="34.799999999999997" x14ac:dyDescent="0.25">
      <c r="A106" s="72" t="s">
        <v>29</v>
      </c>
      <c r="B106" s="80" t="s">
        <v>721</v>
      </c>
      <c r="C106" s="73">
        <v>44523</v>
      </c>
      <c r="D106" s="74" t="s">
        <v>22</v>
      </c>
      <c r="E106" s="74" t="s">
        <v>23</v>
      </c>
      <c r="F106" s="75" t="s">
        <v>722</v>
      </c>
      <c r="G106" s="76" t="s">
        <v>25</v>
      </c>
      <c r="H106" s="77"/>
      <c r="I106" s="78">
        <v>44523</v>
      </c>
      <c r="J106" s="79" t="s">
        <v>360</v>
      </c>
      <c r="K106" s="8"/>
      <c r="L106" s="9"/>
      <c r="M106" s="154"/>
      <c r="N106" s="10"/>
    </row>
    <row r="107" spans="1:14" x14ac:dyDescent="0.25">
      <c r="A107" s="72"/>
      <c r="B107" s="80" t="s">
        <v>723</v>
      </c>
      <c r="C107" s="73">
        <v>44524</v>
      </c>
      <c r="D107" s="74" t="s">
        <v>22</v>
      </c>
      <c r="E107" s="74" t="s">
        <v>23</v>
      </c>
      <c r="F107" s="75" t="s">
        <v>724</v>
      </c>
      <c r="G107" s="76" t="s">
        <v>49</v>
      </c>
      <c r="H107" s="77" t="s">
        <v>501</v>
      </c>
      <c r="I107" s="78">
        <v>44524</v>
      </c>
      <c r="J107" s="79" t="s">
        <v>332</v>
      </c>
      <c r="K107" s="8"/>
      <c r="L107" s="9"/>
      <c r="M107" s="154"/>
      <c r="N107" s="10"/>
    </row>
    <row r="108" spans="1:14" x14ac:dyDescent="0.25">
      <c r="A108" s="72" t="s">
        <v>29</v>
      </c>
      <c r="B108" s="80" t="s">
        <v>725</v>
      </c>
      <c r="C108" s="73">
        <v>44524</v>
      </c>
      <c r="D108" s="74" t="s">
        <v>22</v>
      </c>
      <c r="E108" s="74" t="s">
        <v>23</v>
      </c>
      <c r="F108" s="75" t="s">
        <v>726</v>
      </c>
      <c r="G108" s="76" t="s">
        <v>116</v>
      </c>
      <c r="H108" s="77" t="s">
        <v>258</v>
      </c>
      <c r="I108" s="78">
        <v>44525</v>
      </c>
      <c r="J108" s="79" t="s">
        <v>27</v>
      </c>
      <c r="K108" s="8"/>
      <c r="L108" s="9"/>
      <c r="M108" s="154"/>
      <c r="N108" s="10"/>
    </row>
    <row r="109" spans="1:14" x14ac:dyDescent="0.25">
      <c r="A109" s="72" t="s">
        <v>29</v>
      </c>
      <c r="B109" s="80" t="s">
        <v>727</v>
      </c>
      <c r="C109" s="73">
        <v>44529</v>
      </c>
      <c r="D109" s="74" t="s">
        <v>22</v>
      </c>
      <c r="E109" s="74" t="s">
        <v>23</v>
      </c>
      <c r="F109" s="75" t="s">
        <v>728</v>
      </c>
      <c r="G109" s="76" t="s">
        <v>49</v>
      </c>
      <c r="H109" s="77" t="s">
        <v>729</v>
      </c>
      <c r="I109" s="78">
        <v>44529</v>
      </c>
      <c r="J109" s="79" t="s">
        <v>67</v>
      </c>
      <c r="K109" s="8"/>
      <c r="L109" s="9"/>
      <c r="M109" s="154"/>
      <c r="N109" s="10"/>
    </row>
    <row r="110" spans="1:14" x14ac:dyDescent="0.25">
      <c r="A110" s="72" t="s">
        <v>29</v>
      </c>
      <c r="B110" s="80" t="s">
        <v>730</v>
      </c>
      <c r="C110" s="73">
        <v>44531</v>
      </c>
      <c r="D110" s="74" t="s">
        <v>56</v>
      </c>
      <c r="E110" s="74" t="s">
        <v>44</v>
      </c>
      <c r="F110" s="75" t="s">
        <v>731</v>
      </c>
      <c r="G110" s="76" t="s">
        <v>37</v>
      </c>
      <c r="H110" s="77" t="s">
        <v>732</v>
      </c>
      <c r="I110" s="78"/>
      <c r="J110" s="79" t="s">
        <v>74</v>
      </c>
      <c r="K110" s="8"/>
      <c r="L110" s="9"/>
      <c r="M110" s="154"/>
      <c r="N110" s="10"/>
    </row>
    <row r="111" spans="1:14" ht="23.4" x14ac:dyDescent="0.25">
      <c r="A111" s="72" t="s">
        <v>29</v>
      </c>
      <c r="B111" s="80" t="s">
        <v>733</v>
      </c>
      <c r="C111" s="73">
        <v>44531</v>
      </c>
      <c r="D111" s="74" t="s">
        <v>61</v>
      </c>
      <c r="E111" s="74" t="s">
        <v>23</v>
      </c>
      <c r="F111" s="75" t="s">
        <v>704</v>
      </c>
      <c r="G111" s="76" t="s">
        <v>37</v>
      </c>
      <c r="H111" s="77" t="s">
        <v>734</v>
      </c>
      <c r="I111" s="78"/>
      <c r="J111" s="79" t="s">
        <v>27</v>
      </c>
      <c r="K111" s="8"/>
      <c r="L111" s="9"/>
      <c r="M111" s="154"/>
      <c r="N111" s="10"/>
    </row>
    <row r="112" spans="1:14" x14ac:dyDescent="0.25">
      <c r="A112" s="72" t="s">
        <v>29</v>
      </c>
      <c r="B112" s="80" t="s">
        <v>735</v>
      </c>
      <c r="C112" s="73">
        <v>44545</v>
      </c>
      <c r="D112" s="74" t="s">
        <v>43</v>
      </c>
      <c r="E112" s="74" t="s">
        <v>23</v>
      </c>
      <c r="F112" s="75" t="s">
        <v>736</v>
      </c>
      <c r="G112" s="76" t="s">
        <v>88</v>
      </c>
      <c r="H112" s="77" t="s">
        <v>737</v>
      </c>
      <c r="I112" s="78">
        <v>44545</v>
      </c>
      <c r="J112" s="79" t="s">
        <v>332</v>
      </c>
      <c r="K112" s="8"/>
      <c r="L112" s="9"/>
      <c r="M112" s="154"/>
      <c r="N112" s="10"/>
    </row>
    <row r="113" spans="1:14" ht="23.4" x14ac:dyDescent="0.25">
      <c r="A113" s="72" t="s">
        <v>29</v>
      </c>
      <c r="B113" s="80" t="s">
        <v>738</v>
      </c>
      <c r="C113" s="73">
        <v>44545</v>
      </c>
      <c r="D113" s="74" t="s">
        <v>56</v>
      </c>
      <c r="E113" s="74" t="s">
        <v>23</v>
      </c>
      <c r="F113" s="75" t="s">
        <v>739</v>
      </c>
      <c r="G113" s="76" t="s">
        <v>97</v>
      </c>
      <c r="H113" s="77" t="s">
        <v>740</v>
      </c>
      <c r="I113" s="78">
        <v>44540</v>
      </c>
      <c r="J113" s="79" t="s">
        <v>67</v>
      </c>
      <c r="K113" s="8"/>
      <c r="L113" s="9"/>
      <c r="M113" s="154"/>
      <c r="N113" s="10"/>
    </row>
    <row r="114" spans="1:14" ht="23.4" x14ac:dyDescent="0.25">
      <c r="A114" s="72" t="s">
        <v>29</v>
      </c>
      <c r="B114" s="80" t="s">
        <v>741</v>
      </c>
      <c r="C114" s="73">
        <v>44547</v>
      </c>
      <c r="D114" s="74" t="s">
        <v>56</v>
      </c>
      <c r="E114" s="74" t="s">
        <v>69</v>
      </c>
      <c r="F114" s="75" t="s">
        <v>742</v>
      </c>
      <c r="G114" s="76" t="s">
        <v>25</v>
      </c>
      <c r="H114" s="77"/>
      <c r="I114" s="78">
        <v>44547</v>
      </c>
      <c r="J114" s="79" t="s">
        <v>74</v>
      </c>
      <c r="K114" s="8"/>
      <c r="L114" s="9"/>
      <c r="M114" s="154"/>
      <c r="N114" s="10"/>
    </row>
    <row r="115" spans="1:14" ht="23.4" x14ac:dyDescent="0.25">
      <c r="A115" s="72" t="s">
        <v>29</v>
      </c>
      <c r="B115" s="80" t="s">
        <v>743</v>
      </c>
      <c r="C115" s="73">
        <v>44550</v>
      </c>
      <c r="D115" s="74" t="s">
        <v>61</v>
      </c>
      <c r="E115" s="74" t="s">
        <v>23</v>
      </c>
      <c r="F115" s="75" t="s">
        <v>744</v>
      </c>
      <c r="G115" s="76" t="s">
        <v>116</v>
      </c>
      <c r="H115" s="77" t="s">
        <v>258</v>
      </c>
      <c r="I115" s="78">
        <v>44551</v>
      </c>
      <c r="J115" s="79" t="s">
        <v>27</v>
      </c>
      <c r="K115" s="8"/>
      <c r="L115" s="9"/>
      <c r="M115" s="154"/>
      <c r="N115" s="10"/>
    </row>
    <row r="116" spans="1:14" x14ac:dyDescent="0.25">
      <c r="A116" s="72" t="s">
        <v>29</v>
      </c>
      <c r="B116" s="80" t="s">
        <v>745</v>
      </c>
      <c r="C116" s="73">
        <v>44551</v>
      </c>
      <c r="D116" s="74" t="s">
        <v>56</v>
      </c>
      <c r="E116" s="74" t="s">
        <v>23</v>
      </c>
      <c r="F116" s="75" t="s">
        <v>746</v>
      </c>
      <c r="G116" s="76" t="s">
        <v>49</v>
      </c>
      <c r="H116" s="77" t="s">
        <v>747</v>
      </c>
      <c r="I116" s="78">
        <v>44551</v>
      </c>
      <c r="J116" s="79" t="s">
        <v>67</v>
      </c>
      <c r="K116" s="8"/>
      <c r="L116" s="9"/>
      <c r="M116" s="154"/>
      <c r="N116" s="10"/>
    </row>
    <row r="117" spans="1:14" x14ac:dyDescent="0.25">
      <c r="A117" s="72" t="s">
        <v>29</v>
      </c>
      <c r="B117" s="80" t="s">
        <v>748</v>
      </c>
      <c r="C117" s="73">
        <v>44551</v>
      </c>
      <c r="D117" s="74" t="s">
        <v>56</v>
      </c>
      <c r="E117" s="74" t="s">
        <v>23</v>
      </c>
      <c r="F117" s="75" t="s">
        <v>749</v>
      </c>
      <c r="G117" s="76" t="s">
        <v>37</v>
      </c>
      <c r="H117" s="77" t="s">
        <v>750</v>
      </c>
      <c r="I117" s="78" t="s">
        <v>751</v>
      </c>
      <c r="J117" s="79" t="s">
        <v>74</v>
      </c>
      <c r="K117" s="8"/>
      <c r="L117" s="9"/>
      <c r="M117" s="154"/>
      <c r="N117" s="10"/>
    </row>
    <row r="118" spans="1:14" ht="23.4" x14ac:dyDescent="0.25">
      <c r="A118" s="72" t="s">
        <v>29</v>
      </c>
      <c r="B118" s="80" t="s">
        <v>752</v>
      </c>
      <c r="C118" s="73"/>
      <c r="D118" s="74" t="s">
        <v>56</v>
      </c>
      <c r="E118" s="74" t="s">
        <v>23</v>
      </c>
      <c r="F118" s="75" t="s">
        <v>753</v>
      </c>
      <c r="G118" s="76" t="s">
        <v>37</v>
      </c>
      <c r="H118" s="77" t="s">
        <v>658</v>
      </c>
      <c r="I118" s="78">
        <v>44553</v>
      </c>
      <c r="J118" s="79" t="s">
        <v>27</v>
      </c>
      <c r="K118" s="8"/>
      <c r="L118" s="9"/>
      <c r="M118" s="154"/>
      <c r="N118" s="10"/>
    </row>
    <row r="119" spans="1:14" x14ac:dyDescent="0.25">
      <c r="A119" s="72"/>
      <c r="B119" s="80"/>
      <c r="C119" s="73"/>
      <c r="D119" s="74"/>
      <c r="E119" s="74"/>
      <c r="F119" s="75"/>
      <c r="G119" s="76"/>
      <c r="H119" s="77"/>
      <c r="I119" s="78"/>
      <c r="J119" s="79"/>
      <c r="K119" s="8"/>
      <c r="L119" s="9"/>
      <c r="M119" s="154"/>
      <c r="N119" s="10"/>
    </row>
    <row r="120" spans="1:14" x14ac:dyDescent="0.25">
      <c r="A120" s="72"/>
      <c r="B120" s="80" t="s">
        <v>324</v>
      </c>
      <c r="C120" s="73"/>
      <c r="D120" s="74"/>
      <c r="E120" s="74"/>
      <c r="F120" s="64"/>
      <c r="G120" s="76"/>
      <c r="H120" s="77"/>
      <c r="I120" s="78"/>
      <c r="J120" s="79"/>
      <c r="K120" s="8"/>
      <c r="L120" s="9"/>
      <c r="M120" s="154"/>
      <c r="N120" s="10"/>
    </row>
    <row r="121" spans="1:14" x14ac:dyDescent="0.25">
      <c r="A121" s="72"/>
      <c r="B121" s="80" t="s">
        <v>327</v>
      </c>
      <c r="C121" s="73"/>
      <c r="D121" s="74"/>
      <c r="E121" s="74"/>
      <c r="F121" s="75"/>
      <c r="G121" s="76"/>
      <c r="H121" s="77"/>
      <c r="I121" s="78"/>
      <c r="J121" s="79"/>
      <c r="K121" s="8"/>
      <c r="L121" s="9"/>
      <c r="M121" s="154"/>
      <c r="N121" s="10"/>
    </row>
    <row r="122" spans="1:14" x14ac:dyDescent="0.25">
      <c r="A122" s="72"/>
      <c r="B122" s="80" t="s">
        <v>330</v>
      </c>
      <c r="C122" s="73"/>
      <c r="D122" s="74"/>
      <c r="E122" s="74"/>
      <c r="F122" s="75"/>
      <c r="G122" s="76"/>
      <c r="H122" s="77"/>
      <c r="I122" s="78"/>
      <c r="J122" s="79"/>
      <c r="K122" s="8"/>
      <c r="L122" s="9"/>
      <c r="M122" s="154"/>
      <c r="N122" s="10"/>
    </row>
    <row r="123" spans="1:14" x14ac:dyDescent="0.25">
      <c r="A123" s="72"/>
      <c r="B123" s="80" t="s">
        <v>333</v>
      </c>
      <c r="C123" s="73"/>
      <c r="D123" s="74"/>
      <c r="E123" s="74"/>
      <c r="F123" s="75"/>
      <c r="G123" s="76"/>
      <c r="H123" s="77"/>
      <c r="I123" s="78"/>
      <c r="J123" s="79"/>
      <c r="K123" s="8"/>
      <c r="L123" s="9"/>
      <c r="M123" s="154"/>
      <c r="N123" s="10"/>
    </row>
    <row r="124" spans="1:14" x14ac:dyDescent="0.25">
      <c r="A124" s="72"/>
      <c r="B124" s="80" t="s">
        <v>335</v>
      </c>
      <c r="C124" s="73"/>
      <c r="D124" s="74"/>
      <c r="E124" s="74"/>
      <c r="F124" s="75"/>
      <c r="G124" s="76"/>
      <c r="H124" s="77"/>
      <c r="I124" s="78"/>
      <c r="J124" s="79"/>
      <c r="K124" s="8"/>
      <c r="L124" s="9"/>
      <c r="M124" s="154"/>
      <c r="N124" s="10"/>
    </row>
    <row r="125" spans="1:14" x14ac:dyDescent="0.25">
      <c r="A125" s="72"/>
      <c r="B125" s="80" t="s">
        <v>338</v>
      </c>
      <c r="C125" s="73"/>
      <c r="D125" s="74"/>
      <c r="E125" s="74"/>
      <c r="F125" s="75"/>
      <c r="G125" s="76"/>
      <c r="H125" s="77"/>
      <c r="I125" s="78"/>
      <c r="J125" s="79"/>
      <c r="K125" s="8"/>
      <c r="L125" s="9"/>
      <c r="M125" s="154"/>
      <c r="N125" s="10"/>
    </row>
    <row r="126" spans="1:14" x14ac:dyDescent="0.25">
      <c r="A126" s="72"/>
      <c r="B126" s="80" t="s">
        <v>342</v>
      </c>
      <c r="C126" s="73"/>
      <c r="D126" s="74"/>
      <c r="E126" s="74"/>
      <c r="F126" s="75"/>
      <c r="G126" s="76"/>
      <c r="H126" s="77"/>
      <c r="I126" s="78"/>
      <c r="J126" s="79"/>
      <c r="K126" s="8"/>
      <c r="L126" s="9"/>
      <c r="M126" s="154"/>
      <c r="N126" s="10"/>
    </row>
    <row r="127" spans="1:14" x14ac:dyDescent="0.25">
      <c r="A127" s="72"/>
      <c r="B127" s="80" t="s">
        <v>345</v>
      </c>
      <c r="C127" s="73"/>
      <c r="D127" s="74"/>
      <c r="E127" s="74"/>
      <c r="F127" s="75"/>
      <c r="G127" s="76"/>
      <c r="H127" s="77"/>
      <c r="I127" s="78"/>
      <c r="J127" s="79"/>
      <c r="K127" s="8"/>
      <c r="L127" s="9"/>
      <c r="M127" s="154"/>
      <c r="N127" s="10"/>
    </row>
    <row r="128" spans="1:14" x14ac:dyDescent="0.25">
      <c r="A128" s="72"/>
      <c r="B128" s="80" t="s">
        <v>348</v>
      </c>
      <c r="C128" s="73"/>
      <c r="D128" s="74"/>
      <c r="E128" s="74"/>
      <c r="F128" s="75"/>
      <c r="G128" s="76"/>
      <c r="H128" s="77"/>
      <c r="I128" s="78"/>
      <c r="J128" s="79"/>
      <c r="K128" s="8"/>
      <c r="L128" s="9"/>
      <c r="M128" s="163"/>
      <c r="N128" s="10"/>
    </row>
    <row r="129" spans="1:14" x14ac:dyDescent="0.25">
      <c r="A129" s="72"/>
      <c r="B129" s="80" t="s">
        <v>351</v>
      </c>
      <c r="C129" s="73"/>
      <c r="D129" s="74"/>
      <c r="E129" s="74"/>
      <c r="F129" s="75"/>
      <c r="G129" s="76"/>
      <c r="H129" s="77"/>
      <c r="I129" s="78"/>
      <c r="J129" s="79"/>
      <c r="K129" s="8"/>
      <c r="L129" s="9"/>
      <c r="M129" s="154"/>
      <c r="N129" s="10"/>
    </row>
    <row r="130" spans="1:14" x14ac:dyDescent="0.25">
      <c r="A130" s="72"/>
      <c r="B130" s="80" t="s">
        <v>355</v>
      </c>
      <c r="C130" s="73"/>
      <c r="D130" s="74"/>
      <c r="E130" s="74"/>
      <c r="F130" s="75"/>
      <c r="G130" s="76"/>
      <c r="H130" s="77"/>
      <c r="I130" s="78"/>
      <c r="J130" s="79"/>
      <c r="K130" s="8"/>
      <c r="L130" s="9"/>
      <c r="M130" s="154"/>
      <c r="N130" s="10"/>
    </row>
    <row r="131" spans="1:14" x14ac:dyDescent="0.25">
      <c r="A131" s="72"/>
      <c r="B131" s="80" t="s">
        <v>358</v>
      </c>
      <c r="C131" s="73"/>
      <c r="D131" s="74"/>
      <c r="E131" s="74"/>
      <c r="F131" s="75"/>
      <c r="G131" s="76"/>
      <c r="H131" s="77"/>
      <c r="I131" s="78"/>
      <c r="J131" s="79"/>
      <c r="K131" s="8"/>
      <c r="L131" s="9"/>
      <c r="M131" s="154"/>
      <c r="N131" s="10"/>
    </row>
    <row r="132" spans="1:14" x14ac:dyDescent="0.25">
      <c r="A132" s="72"/>
      <c r="B132" s="80" t="s">
        <v>361</v>
      </c>
      <c r="C132" s="73"/>
      <c r="D132" s="74"/>
      <c r="E132" s="74"/>
      <c r="F132" s="75"/>
      <c r="G132" s="76"/>
      <c r="H132" s="77"/>
      <c r="I132" s="78"/>
      <c r="J132" s="79"/>
      <c r="K132" s="8"/>
      <c r="L132" s="9"/>
      <c r="M132" s="154"/>
      <c r="N132" s="10"/>
    </row>
    <row r="133" spans="1:14" x14ac:dyDescent="0.25">
      <c r="A133" s="72"/>
      <c r="B133" s="80" t="s">
        <v>364</v>
      </c>
      <c r="C133" s="73"/>
      <c r="D133" s="74"/>
      <c r="E133" s="74"/>
      <c r="F133" s="75"/>
      <c r="G133" s="76"/>
      <c r="H133" s="77"/>
      <c r="I133" s="78"/>
      <c r="J133" s="79"/>
      <c r="K133" s="8"/>
      <c r="L133" s="9"/>
      <c r="M133" s="154"/>
      <c r="N133" s="10"/>
    </row>
    <row r="134" spans="1:14" x14ac:dyDescent="0.25">
      <c r="A134" s="72"/>
      <c r="B134" s="80" t="s">
        <v>367</v>
      </c>
      <c r="C134" s="73"/>
      <c r="D134" s="74"/>
      <c r="E134" s="74"/>
      <c r="F134" s="75"/>
      <c r="G134" s="76"/>
      <c r="H134" s="77"/>
      <c r="I134" s="78"/>
      <c r="J134" s="79"/>
      <c r="K134" s="8"/>
      <c r="L134" s="9"/>
      <c r="M134" s="154"/>
      <c r="N134" s="10"/>
    </row>
    <row r="135" spans="1:14" x14ac:dyDescent="0.25">
      <c r="A135" s="72"/>
      <c r="B135" s="80" t="s">
        <v>370</v>
      </c>
      <c r="C135" s="73"/>
      <c r="D135" s="74"/>
      <c r="E135" s="74"/>
      <c r="F135" s="75"/>
      <c r="G135" s="76"/>
      <c r="H135" s="77"/>
      <c r="I135" s="78"/>
      <c r="J135" s="79"/>
      <c r="K135" s="8"/>
      <c r="L135" s="9"/>
      <c r="M135" s="154"/>
      <c r="N135" s="10"/>
    </row>
    <row r="136" spans="1:14" x14ac:dyDescent="0.25">
      <c r="A136" s="72"/>
      <c r="B136" s="80" t="s">
        <v>373</v>
      </c>
      <c r="C136" s="73"/>
      <c r="D136" s="74"/>
      <c r="E136" s="74"/>
      <c r="F136" s="75"/>
      <c r="G136" s="76"/>
      <c r="H136" s="77"/>
      <c r="I136" s="78"/>
      <c r="J136" s="79"/>
      <c r="K136" s="8"/>
      <c r="L136" s="9"/>
      <c r="M136" s="154"/>
      <c r="N136" s="10"/>
    </row>
    <row r="137" spans="1:14" x14ac:dyDescent="0.25">
      <c r="A137" s="72"/>
      <c r="B137" s="80" t="s">
        <v>375</v>
      </c>
      <c r="C137" s="73"/>
      <c r="D137" s="74"/>
      <c r="E137" s="74"/>
      <c r="F137" s="75"/>
      <c r="G137" s="76"/>
      <c r="H137" s="77"/>
      <c r="I137" s="78"/>
      <c r="J137" s="79"/>
      <c r="K137" s="8"/>
      <c r="L137" s="9"/>
      <c r="M137" s="154"/>
      <c r="N137" s="10"/>
    </row>
    <row r="138" spans="1:14" x14ac:dyDescent="0.25">
      <c r="A138" s="72"/>
      <c r="B138" s="80" t="s">
        <v>377</v>
      </c>
      <c r="C138" s="73"/>
      <c r="D138" s="74"/>
      <c r="E138" s="74"/>
      <c r="F138" s="75"/>
      <c r="G138" s="76"/>
      <c r="H138" s="77"/>
      <c r="I138" s="78"/>
      <c r="J138" s="79"/>
      <c r="K138" s="8"/>
      <c r="L138" s="9"/>
      <c r="M138" s="154"/>
      <c r="N138" s="10"/>
    </row>
    <row r="139" spans="1:14" x14ac:dyDescent="0.25">
      <c r="A139" s="72"/>
      <c r="B139" s="80" t="s">
        <v>380</v>
      </c>
      <c r="C139" s="73"/>
      <c r="D139" s="74"/>
      <c r="E139" s="74"/>
      <c r="F139" s="75"/>
      <c r="G139" s="76"/>
      <c r="H139" s="77"/>
      <c r="I139" s="78"/>
      <c r="J139" s="79"/>
      <c r="K139" s="8"/>
      <c r="L139" s="9"/>
      <c r="M139" s="154"/>
      <c r="N139" s="10"/>
    </row>
    <row r="140" spans="1:14" x14ac:dyDescent="0.25">
      <c r="A140" s="72"/>
      <c r="B140" s="80" t="s">
        <v>383</v>
      </c>
      <c r="C140" s="73"/>
      <c r="D140" s="74"/>
      <c r="E140" s="74"/>
      <c r="F140" s="75"/>
      <c r="G140" s="76"/>
      <c r="H140" s="77"/>
      <c r="I140" s="78"/>
      <c r="J140" s="79"/>
      <c r="K140" s="8"/>
      <c r="L140" s="9"/>
      <c r="M140" s="154"/>
      <c r="N140" s="10"/>
    </row>
    <row r="141" spans="1:14" x14ac:dyDescent="0.25">
      <c r="A141" s="72"/>
      <c r="B141" s="80" t="s">
        <v>386</v>
      </c>
      <c r="C141" s="73"/>
      <c r="D141" s="74"/>
      <c r="E141" s="74"/>
      <c r="F141" s="75"/>
      <c r="G141" s="76"/>
      <c r="H141" s="77"/>
      <c r="I141" s="78"/>
      <c r="J141" s="79"/>
      <c r="K141" s="8"/>
      <c r="L141" s="9"/>
      <c r="M141" s="154"/>
      <c r="N141" s="10"/>
    </row>
    <row r="142" spans="1:14" x14ac:dyDescent="0.25">
      <c r="A142" s="72"/>
      <c r="B142" s="80" t="s">
        <v>389</v>
      </c>
      <c r="C142" s="73"/>
      <c r="D142" s="74"/>
      <c r="E142" s="74"/>
      <c r="F142" s="75"/>
      <c r="G142" s="76"/>
      <c r="H142" s="77"/>
      <c r="I142" s="78"/>
      <c r="J142" s="79"/>
      <c r="K142" s="8"/>
      <c r="L142" s="9"/>
      <c r="M142" s="154"/>
      <c r="N142" s="10"/>
    </row>
    <row r="143" spans="1:14" x14ac:dyDescent="0.25">
      <c r="A143" s="72"/>
      <c r="B143" s="80" t="s">
        <v>392</v>
      </c>
      <c r="C143" s="73"/>
      <c r="D143" s="74"/>
      <c r="E143" s="74"/>
      <c r="F143" s="75"/>
      <c r="G143" s="76"/>
      <c r="H143" s="77"/>
      <c r="I143" s="78"/>
      <c r="J143" s="79"/>
      <c r="K143" s="8"/>
      <c r="L143" s="9"/>
      <c r="M143" s="154"/>
      <c r="N143" s="10"/>
    </row>
    <row r="144" spans="1:14" x14ac:dyDescent="0.25">
      <c r="A144" s="72"/>
      <c r="B144" s="80" t="s">
        <v>394</v>
      </c>
      <c r="C144" s="73"/>
      <c r="D144" s="74"/>
      <c r="E144" s="74"/>
      <c r="F144" s="75"/>
      <c r="G144" s="76"/>
      <c r="H144" s="77"/>
      <c r="I144" s="78"/>
      <c r="J144" s="79"/>
      <c r="K144" s="8"/>
      <c r="L144" s="9"/>
      <c r="M144" s="154"/>
      <c r="N144" s="10"/>
    </row>
    <row r="145" spans="1:14" x14ac:dyDescent="0.25">
      <c r="A145" s="72"/>
      <c r="B145" s="80" t="s">
        <v>396</v>
      </c>
      <c r="C145" s="73"/>
      <c r="D145" s="74"/>
      <c r="E145" s="74"/>
      <c r="F145" s="75"/>
      <c r="G145" s="76"/>
      <c r="H145" s="77"/>
      <c r="I145" s="78"/>
      <c r="J145" s="79"/>
      <c r="K145" s="8"/>
      <c r="L145" s="9"/>
      <c r="M145" s="154"/>
      <c r="N145" s="10"/>
    </row>
    <row r="146" spans="1:14" x14ac:dyDescent="0.25">
      <c r="A146" s="72"/>
      <c r="B146" s="80" t="s">
        <v>398</v>
      </c>
      <c r="C146" s="73"/>
      <c r="D146" s="74"/>
      <c r="E146" s="74"/>
      <c r="F146" s="75"/>
      <c r="G146" s="76"/>
      <c r="H146" s="77"/>
      <c r="I146" s="78"/>
      <c r="J146" s="79"/>
      <c r="K146" s="8"/>
      <c r="L146" s="9"/>
      <c r="M146" s="154"/>
      <c r="N146" s="10"/>
    </row>
    <row r="147" spans="1:14" x14ac:dyDescent="0.25">
      <c r="A147" s="72"/>
      <c r="B147" s="80" t="s">
        <v>401</v>
      </c>
      <c r="C147" s="73"/>
      <c r="D147" s="74"/>
      <c r="E147" s="74"/>
      <c r="F147" s="75"/>
      <c r="G147" s="76"/>
      <c r="H147" s="77"/>
      <c r="I147" s="78"/>
      <c r="J147" s="79"/>
      <c r="K147" s="8"/>
      <c r="L147" s="9"/>
      <c r="M147" s="154"/>
      <c r="N147" s="10"/>
    </row>
    <row r="148" spans="1:14" x14ac:dyDescent="0.25">
      <c r="A148" s="72"/>
      <c r="B148" s="80" t="s">
        <v>403</v>
      </c>
      <c r="C148" s="73"/>
      <c r="D148" s="74"/>
      <c r="E148" s="74"/>
      <c r="F148" s="75"/>
      <c r="G148" s="76"/>
      <c r="H148" s="77"/>
      <c r="I148" s="78"/>
      <c r="J148" s="79"/>
      <c r="K148" s="8"/>
      <c r="L148" s="9"/>
      <c r="M148" s="154"/>
      <c r="N148" s="10"/>
    </row>
    <row r="149" spans="1:14" x14ac:dyDescent="0.25">
      <c r="A149" s="72"/>
      <c r="B149" s="80" t="s">
        <v>406</v>
      </c>
      <c r="C149" s="73"/>
      <c r="D149" s="74"/>
      <c r="E149" s="74"/>
      <c r="F149" s="75"/>
      <c r="G149" s="76"/>
      <c r="H149" s="77"/>
      <c r="I149" s="78"/>
      <c r="J149" s="79"/>
      <c r="K149" s="8"/>
      <c r="L149" s="9"/>
      <c r="M149" s="154"/>
      <c r="N149" s="10"/>
    </row>
    <row r="150" spans="1:14" x14ac:dyDescent="0.25">
      <c r="A150" s="72"/>
      <c r="B150" s="80" t="s">
        <v>408</v>
      </c>
      <c r="C150" s="73"/>
      <c r="D150" s="74"/>
      <c r="E150" s="74"/>
      <c r="F150" s="75"/>
      <c r="G150" s="76"/>
      <c r="H150" s="77"/>
      <c r="I150" s="78"/>
      <c r="J150" s="79"/>
      <c r="K150" s="8"/>
      <c r="L150" s="9"/>
      <c r="M150" s="154"/>
      <c r="N150" s="10"/>
    </row>
    <row r="151" spans="1:14" x14ac:dyDescent="0.25">
      <c r="A151" s="72"/>
      <c r="B151" s="80" t="s">
        <v>410</v>
      </c>
      <c r="C151" s="73"/>
      <c r="D151" s="74"/>
      <c r="E151" s="74"/>
      <c r="F151" s="75"/>
      <c r="G151" s="76"/>
      <c r="H151" s="77"/>
      <c r="I151" s="78"/>
      <c r="J151" s="79"/>
      <c r="K151" s="8"/>
      <c r="L151" s="9"/>
      <c r="M151" s="154"/>
      <c r="N151" s="10"/>
    </row>
    <row r="152" spans="1:14" x14ac:dyDescent="0.25">
      <c r="A152" s="72"/>
      <c r="B152" s="80" t="s">
        <v>413</v>
      </c>
      <c r="C152" s="73"/>
      <c r="D152" s="74"/>
      <c r="E152" s="74"/>
      <c r="F152" s="75"/>
      <c r="G152" s="76"/>
      <c r="H152" s="77"/>
      <c r="I152" s="78"/>
      <c r="J152" s="79"/>
      <c r="K152" s="8"/>
      <c r="L152" s="9"/>
      <c r="M152" s="154"/>
      <c r="N152" s="10"/>
    </row>
    <row r="153" spans="1:14" x14ac:dyDescent="0.25">
      <c r="A153" s="72"/>
      <c r="B153" s="80" t="s">
        <v>416</v>
      </c>
      <c r="C153" s="73"/>
      <c r="D153" s="74"/>
      <c r="E153" s="74"/>
      <c r="F153" s="75"/>
      <c r="G153" s="76"/>
      <c r="H153" s="77"/>
      <c r="I153" s="78"/>
      <c r="J153" s="79"/>
      <c r="K153" s="8"/>
      <c r="L153" s="9"/>
      <c r="M153" s="154"/>
      <c r="N153" s="10"/>
    </row>
    <row r="154" spans="1:14" x14ac:dyDescent="0.25">
      <c r="A154" s="72"/>
      <c r="B154" s="80" t="s">
        <v>418</v>
      </c>
      <c r="C154" s="73"/>
      <c r="D154" s="74"/>
      <c r="E154" s="74"/>
      <c r="F154" s="75"/>
      <c r="G154" s="76"/>
      <c r="H154" s="77"/>
      <c r="I154" s="78"/>
      <c r="J154" s="79"/>
      <c r="K154" s="8"/>
      <c r="L154" s="9"/>
      <c r="M154" s="154"/>
      <c r="N154" s="10"/>
    </row>
    <row r="155" spans="1:14" x14ac:dyDescent="0.25">
      <c r="A155" s="72"/>
      <c r="B155" s="80" t="s">
        <v>421</v>
      </c>
      <c r="C155" s="73"/>
      <c r="D155" s="74"/>
      <c r="E155" s="74"/>
      <c r="F155" s="75"/>
      <c r="G155" s="76"/>
      <c r="H155" s="77"/>
      <c r="I155" s="78"/>
      <c r="J155" s="79"/>
      <c r="K155" s="8"/>
      <c r="L155" s="9"/>
      <c r="M155" s="154"/>
      <c r="N155" s="10"/>
    </row>
    <row r="156" spans="1:14" x14ac:dyDescent="0.25">
      <c r="A156" s="72"/>
      <c r="B156" s="80" t="s">
        <v>424</v>
      </c>
      <c r="C156" s="73"/>
      <c r="D156" s="74"/>
      <c r="E156" s="74"/>
      <c r="F156" s="75"/>
      <c r="G156" s="76"/>
      <c r="H156" s="77"/>
      <c r="I156" s="78"/>
      <c r="J156" s="79"/>
      <c r="K156" s="8"/>
      <c r="L156" s="9"/>
      <c r="M156" s="154"/>
      <c r="N156" s="10"/>
    </row>
    <row r="157" spans="1:14" x14ac:dyDescent="0.25">
      <c r="A157" s="72"/>
      <c r="B157" s="80" t="s">
        <v>426</v>
      </c>
      <c r="C157" s="73"/>
      <c r="D157" s="74"/>
      <c r="E157" s="74"/>
      <c r="F157" s="75"/>
      <c r="G157" s="76"/>
      <c r="H157" s="77"/>
      <c r="I157" s="78"/>
      <c r="J157" s="79"/>
      <c r="K157" s="8"/>
      <c r="L157" s="9"/>
      <c r="M157" s="154"/>
      <c r="N157" s="10"/>
    </row>
    <row r="158" spans="1:14" x14ac:dyDescent="0.25">
      <c r="A158" s="72"/>
      <c r="B158" s="80" t="s">
        <v>428</v>
      </c>
      <c r="C158" s="73"/>
      <c r="D158" s="74"/>
      <c r="E158" s="74"/>
      <c r="F158" s="75"/>
      <c r="G158" s="76"/>
      <c r="H158" s="77"/>
      <c r="I158" s="78"/>
      <c r="J158" s="79"/>
      <c r="K158" s="8"/>
      <c r="L158" s="9"/>
      <c r="M158" s="154"/>
      <c r="N158" s="10"/>
    </row>
    <row r="159" spans="1:14" x14ac:dyDescent="0.25">
      <c r="A159" s="72"/>
      <c r="B159" s="80" t="s">
        <v>430</v>
      </c>
      <c r="C159" s="73"/>
      <c r="D159" s="74"/>
      <c r="E159" s="74"/>
      <c r="F159" s="75"/>
      <c r="G159" s="76"/>
      <c r="H159" s="77"/>
      <c r="I159" s="78"/>
      <c r="J159" s="79"/>
      <c r="K159" s="8"/>
      <c r="L159" s="9"/>
      <c r="M159" s="154"/>
      <c r="N159" s="10"/>
    </row>
    <row r="160" spans="1:14" x14ac:dyDescent="0.25">
      <c r="A160" s="72"/>
      <c r="B160" s="80" t="s">
        <v>433</v>
      </c>
      <c r="C160" s="73"/>
      <c r="D160" s="74"/>
      <c r="E160" s="74"/>
      <c r="F160" s="75"/>
      <c r="G160" s="76"/>
      <c r="H160" s="77"/>
      <c r="I160" s="78"/>
      <c r="J160" s="79"/>
      <c r="K160" s="8"/>
      <c r="L160" s="9"/>
      <c r="M160" s="154"/>
      <c r="N160" s="10"/>
    </row>
    <row r="161" spans="1:14" ht="22.5" customHeight="1" x14ac:dyDescent="0.25">
      <c r="A161" s="72"/>
      <c r="B161" s="80" t="s">
        <v>436</v>
      </c>
      <c r="C161" s="73"/>
      <c r="D161" s="74"/>
      <c r="E161" s="74"/>
      <c r="F161" s="75"/>
      <c r="G161" s="76"/>
      <c r="H161" s="77"/>
      <c r="I161" s="78"/>
      <c r="J161" s="79"/>
      <c r="K161" s="8"/>
      <c r="L161" s="9"/>
      <c r="M161" s="154"/>
      <c r="N161" s="10"/>
    </row>
    <row r="162" spans="1:14" x14ac:dyDescent="0.25">
      <c r="A162" s="72"/>
      <c r="B162" s="80" t="s">
        <v>438</v>
      </c>
      <c r="C162" s="73"/>
      <c r="D162" s="74"/>
      <c r="E162" s="74"/>
      <c r="F162" s="75"/>
      <c r="G162" s="76"/>
      <c r="H162" s="77"/>
      <c r="I162" s="78"/>
      <c r="J162" s="79"/>
      <c r="K162" s="8"/>
      <c r="L162" s="9"/>
      <c r="M162" s="154"/>
      <c r="N162" s="10"/>
    </row>
    <row r="163" spans="1:14" x14ac:dyDescent="0.25">
      <c r="A163" s="72"/>
      <c r="B163" s="80" t="s">
        <v>440</v>
      </c>
      <c r="C163" s="73"/>
      <c r="D163" s="74"/>
      <c r="E163" s="74"/>
      <c r="F163" s="75"/>
      <c r="G163" s="76"/>
      <c r="H163" s="77"/>
      <c r="I163" s="78"/>
      <c r="J163" s="79"/>
      <c r="K163" s="8"/>
      <c r="L163" s="9"/>
      <c r="M163" s="154"/>
      <c r="N163" s="10"/>
    </row>
    <row r="164" spans="1:14" ht="23.25" customHeight="1" x14ac:dyDescent="0.25">
      <c r="A164" s="72"/>
      <c r="B164" s="80" t="s">
        <v>442</v>
      </c>
      <c r="C164" s="73"/>
      <c r="D164" s="74"/>
      <c r="E164" s="74"/>
      <c r="F164" s="75"/>
      <c r="G164" s="76"/>
      <c r="H164" s="77"/>
      <c r="I164" s="78"/>
      <c r="J164" s="79"/>
      <c r="K164" s="8"/>
      <c r="L164" s="9"/>
      <c r="M164" s="154"/>
      <c r="N164" s="10"/>
    </row>
    <row r="165" spans="1:14" x14ac:dyDescent="0.25">
      <c r="A165" s="72"/>
      <c r="B165" s="80" t="s">
        <v>444</v>
      </c>
      <c r="C165" s="73"/>
      <c r="D165" s="74"/>
      <c r="E165" s="74"/>
      <c r="F165" s="75"/>
      <c r="G165" s="76"/>
      <c r="H165" s="77"/>
      <c r="I165" s="78"/>
      <c r="J165" s="79"/>
      <c r="K165" s="8"/>
      <c r="L165" s="9"/>
      <c r="M165" s="154"/>
      <c r="N165" s="10"/>
    </row>
    <row r="166" spans="1:14" x14ac:dyDescent="0.25">
      <c r="A166" s="72"/>
      <c r="B166" s="80" t="s">
        <v>447</v>
      </c>
      <c r="C166" s="73"/>
      <c r="D166" s="74"/>
      <c r="E166" s="74"/>
      <c r="F166" s="75"/>
      <c r="G166" s="76"/>
      <c r="H166" s="77"/>
      <c r="I166" s="78"/>
      <c r="J166" s="79"/>
      <c r="K166" s="8"/>
      <c r="L166" s="9"/>
      <c r="M166" s="154"/>
      <c r="N166" s="10"/>
    </row>
    <row r="167" spans="1:14" x14ac:dyDescent="0.25">
      <c r="A167" s="72"/>
      <c r="B167" s="80" t="s">
        <v>449</v>
      </c>
      <c r="C167" s="73"/>
      <c r="D167" s="74"/>
      <c r="E167" s="74"/>
      <c r="F167" s="75"/>
      <c r="G167" s="76"/>
      <c r="H167" s="77"/>
      <c r="I167" s="78"/>
      <c r="J167" s="79"/>
      <c r="K167" s="8"/>
      <c r="L167" s="9"/>
      <c r="M167" s="154"/>
      <c r="N167" s="10"/>
    </row>
    <row r="168" spans="1:14" x14ac:dyDescent="0.25">
      <c r="A168" s="72"/>
      <c r="B168" s="80" t="s">
        <v>451</v>
      </c>
      <c r="C168" s="73"/>
      <c r="D168" s="74"/>
      <c r="E168" s="74"/>
      <c r="F168" s="75"/>
      <c r="G168" s="76"/>
      <c r="H168" s="77"/>
      <c r="I168" s="78"/>
      <c r="J168" s="79"/>
      <c r="K168" s="8"/>
      <c r="L168" s="9"/>
      <c r="M168" s="154"/>
      <c r="N168" s="10"/>
    </row>
    <row r="169" spans="1:14" x14ac:dyDescent="0.25">
      <c r="A169" s="72"/>
      <c r="B169" s="80" t="s">
        <v>453</v>
      </c>
      <c r="C169" s="73"/>
      <c r="D169" s="74"/>
      <c r="E169" s="74"/>
      <c r="F169" s="75"/>
      <c r="G169" s="76"/>
      <c r="H169" s="77"/>
      <c r="I169" s="78"/>
      <c r="J169" s="79"/>
      <c r="K169" s="8"/>
      <c r="L169" s="9"/>
      <c r="M169" s="154"/>
      <c r="N169" s="10"/>
    </row>
    <row r="170" spans="1:14" x14ac:dyDescent="0.25">
      <c r="A170" s="72"/>
      <c r="B170" s="80" t="s">
        <v>455</v>
      </c>
      <c r="C170" s="73"/>
      <c r="D170" s="74"/>
      <c r="E170" s="74"/>
      <c r="F170" s="75"/>
      <c r="G170" s="76"/>
      <c r="H170" s="77"/>
      <c r="I170" s="78"/>
      <c r="J170" s="79"/>
      <c r="K170" s="8"/>
      <c r="L170" s="9"/>
      <c r="M170" s="154"/>
      <c r="N170" s="10"/>
    </row>
    <row r="171" spans="1:14" x14ac:dyDescent="0.25">
      <c r="A171" s="72"/>
      <c r="B171" s="80" t="s">
        <v>457</v>
      </c>
      <c r="C171" s="73"/>
      <c r="D171" s="74"/>
      <c r="E171" s="74"/>
      <c r="F171" s="75"/>
      <c r="G171" s="76"/>
      <c r="H171" s="77"/>
      <c r="I171" s="78"/>
      <c r="J171" s="79"/>
      <c r="K171" s="8"/>
      <c r="L171" s="9"/>
      <c r="M171" s="154"/>
      <c r="N171" s="10"/>
    </row>
    <row r="172" spans="1:14" x14ac:dyDescent="0.25">
      <c r="A172" s="72"/>
      <c r="B172" s="80" t="s">
        <v>459</v>
      </c>
      <c r="C172" s="73"/>
      <c r="D172" s="74"/>
      <c r="E172" s="74"/>
      <c r="F172" s="75"/>
      <c r="G172" s="76"/>
      <c r="H172" s="77"/>
      <c r="I172" s="78"/>
      <c r="J172" s="79"/>
      <c r="K172" s="8"/>
      <c r="L172" s="9"/>
      <c r="M172" s="154"/>
      <c r="N172" s="10"/>
    </row>
    <row r="173" spans="1:14" x14ac:dyDescent="0.25">
      <c r="A173" s="72"/>
      <c r="B173" s="80" t="s">
        <v>461</v>
      </c>
      <c r="C173" s="73"/>
      <c r="D173" s="74"/>
      <c r="E173" s="74"/>
      <c r="F173" s="75"/>
      <c r="G173" s="76"/>
      <c r="H173" s="77"/>
      <c r="I173" s="78"/>
      <c r="J173" s="79"/>
      <c r="K173" s="8"/>
      <c r="L173" s="9"/>
      <c r="M173" s="154"/>
      <c r="N173" s="10"/>
    </row>
    <row r="174" spans="1:14" x14ac:dyDescent="0.25">
      <c r="A174" s="72"/>
      <c r="B174" s="80" t="s">
        <v>463</v>
      </c>
      <c r="C174" s="73"/>
      <c r="D174" s="74"/>
      <c r="E174" s="74"/>
      <c r="F174" s="75"/>
      <c r="G174" s="76"/>
      <c r="H174" s="77"/>
      <c r="I174" s="78"/>
      <c r="J174" s="79"/>
      <c r="K174" s="8"/>
      <c r="L174" s="9"/>
      <c r="M174" s="154"/>
      <c r="N174" s="10"/>
    </row>
    <row r="175" spans="1:14" x14ac:dyDescent="0.25">
      <c r="A175" s="72"/>
      <c r="B175" s="80" t="s">
        <v>466</v>
      </c>
      <c r="C175" s="73"/>
      <c r="D175" s="74"/>
      <c r="E175" s="74"/>
      <c r="F175" s="75"/>
      <c r="G175" s="76"/>
      <c r="H175" s="77"/>
      <c r="I175" s="78"/>
      <c r="J175" s="79"/>
      <c r="K175" s="8"/>
      <c r="L175" s="9"/>
      <c r="M175" s="154"/>
      <c r="N175" s="10"/>
    </row>
    <row r="176" spans="1:14" x14ac:dyDescent="0.25">
      <c r="A176" s="72"/>
      <c r="B176" s="80" t="s">
        <v>468</v>
      </c>
      <c r="C176" s="73"/>
      <c r="D176" s="74"/>
      <c r="E176" s="74"/>
      <c r="F176" s="75"/>
      <c r="G176" s="76"/>
      <c r="H176" s="77"/>
      <c r="I176" s="78"/>
      <c r="J176" s="79"/>
      <c r="K176" s="8"/>
      <c r="L176" s="9"/>
      <c r="M176" s="154"/>
      <c r="N176" s="10"/>
    </row>
    <row r="177" spans="1:14" x14ac:dyDescent="0.25">
      <c r="A177" s="72"/>
      <c r="B177" s="80" t="s">
        <v>470</v>
      </c>
      <c r="C177" s="73"/>
      <c r="D177" s="74"/>
      <c r="E177" s="74"/>
      <c r="F177" s="75"/>
      <c r="G177" s="76"/>
      <c r="H177" s="77"/>
      <c r="I177" s="78"/>
      <c r="J177" s="79"/>
      <c r="K177" s="8"/>
      <c r="L177" s="9"/>
      <c r="M177" s="154"/>
      <c r="N177" s="10"/>
    </row>
    <row r="178" spans="1:14" x14ac:dyDescent="0.25">
      <c r="A178" s="72"/>
      <c r="B178" s="80" t="s">
        <v>754</v>
      </c>
      <c r="C178" s="73"/>
      <c r="D178" s="74"/>
      <c r="E178" s="74"/>
      <c r="F178" s="75"/>
      <c r="G178" s="76"/>
      <c r="H178" s="77"/>
      <c r="I178" s="78"/>
      <c r="J178" s="79"/>
      <c r="K178" s="8"/>
      <c r="L178" s="9"/>
      <c r="M178" s="154"/>
      <c r="N178" s="10"/>
    </row>
    <row r="179" spans="1:14" x14ac:dyDescent="0.25">
      <c r="A179" s="72"/>
      <c r="B179" s="80" t="s">
        <v>151</v>
      </c>
      <c r="C179" s="73"/>
      <c r="D179" s="74"/>
      <c r="E179" s="74"/>
      <c r="F179" s="75"/>
      <c r="G179" s="76"/>
      <c r="H179" s="77"/>
      <c r="I179" s="78"/>
      <c r="J179" s="79"/>
      <c r="K179" s="8"/>
      <c r="L179" s="9"/>
      <c r="M179" s="154"/>
      <c r="N179" s="10"/>
    </row>
    <row r="180" spans="1:14" x14ac:dyDescent="0.25">
      <c r="A180" s="72"/>
      <c r="B180" s="80" t="s">
        <v>154</v>
      </c>
      <c r="C180" s="73"/>
      <c r="D180" s="74"/>
      <c r="E180" s="74"/>
      <c r="F180" s="75"/>
      <c r="G180" s="76"/>
      <c r="H180" s="77"/>
      <c r="I180" s="78"/>
      <c r="J180" s="79"/>
      <c r="K180" s="8"/>
      <c r="L180" s="9"/>
      <c r="M180" s="154"/>
      <c r="N180" s="10"/>
    </row>
    <row r="181" spans="1:14" x14ac:dyDescent="0.25">
      <c r="A181" s="72"/>
      <c r="B181" s="80" t="s">
        <v>157</v>
      </c>
      <c r="C181" s="73"/>
      <c r="D181" s="74"/>
      <c r="E181" s="74"/>
      <c r="F181" s="75"/>
      <c r="G181" s="76"/>
      <c r="H181" s="77"/>
      <c r="I181" s="78"/>
      <c r="J181" s="79"/>
      <c r="K181" s="8"/>
      <c r="L181" s="9"/>
      <c r="M181" s="154"/>
      <c r="N181" s="10"/>
    </row>
    <row r="182" spans="1:14" x14ac:dyDescent="0.25">
      <c r="A182" s="72"/>
      <c r="B182" s="80" t="s">
        <v>161</v>
      </c>
      <c r="C182" s="73"/>
      <c r="D182" s="74"/>
      <c r="E182" s="74"/>
      <c r="F182" s="75"/>
      <c r="G182" s="76"/>
      <c r="H182" s="77"/>
      <c r="I182" s="78"/>
      <c r="J182" s="79"/>
      <c r="K182" s="8"/>
      <c r="L182" s="9"/>
      <c r="M182" s="154"/>
      <c r="N182" s="10"/>
    </row>
    <row r="183" spans="1:14" x14ac:dyDescent="0.25">
      <c r="A183" s="72"/>
      <c r="B183" s="80" t="s">
        <v>473</v>
      </c>
      <c r="C183" s="73"/>
      <c r="D183" s="74"/>
      <c r="E183" s="74"/>
      <c r="F183" s="75"/>
      <c r="G183" s="76"/>
      <c r="H183" s="77"/>
      <c r="I183" s="78"/>
      <c r="J183" s="79"/>
      <c r="K183" s="8"/>
      <c r="L183" s="9"/>
      <c r="M183" s="154"/>
      <c r="N183" s="10"/>
    </row>
    <row r="184" spans="1:14" x14ac:dyDescent="0.25">
      <c r="A184" s="72"/>
      <c r="B184" s="80" t="s">
        <v>164</v>
      </c>
      <c r="C184" s="73"/>
      <c r="D184" s="74"/>
      <c r="E184" s="74"/>
      <c r="F184" s="75"/>
      <c r="G184" s="76"/>
      <c r="H184" s="77"/>
      <c r="I184" s="78"/>
      <c r="J184" s="79"/>
      <c r="K184" s="8"/>
      <c r="L184" s="9"/>
      <c r="M184" s="154"/>
      <c r="N184" s="10"/>
    </row>
    <row r="185" spans="1:14" x14ac:dyDescent="0.25">
      <c r="A185" s="72"/>
      <c r="B185" s="80" t="s">
        <v>165</v>
      </c>
      <c r="C185" s="73"/>
      <c r="D185" s="74"/>
      <c r="E185" s="74"/>
      <c r="F185" s="75"/>
      <c r="G185" s="76"/>
      <c r="H185" s="77"/>
      <c r="I185" s="78"/>
      <c r="J185" s="79"/>
      <c r="K185" s="8"/>
      <c r="L185" s="9"/>
      <c r="M185" s="154"/>
      <c r="N185" s="10"/>
    </row>
    <row r="186" spans="1:14" x14ac:dyDescent="0.25">
      <c r="A186" s="72"/>
      <c r="B186" s="80" t="s">
        <v>168</v>
      </c>
      <c r="C186" s="73"/>
      <c r="D186" s="74"/>
      <c r="E186" s="74"/>
      <c r="F186" s="75"/>
      <c r="G186" s="76"/>
      <c r="H186" s="77"/>
      <c r="I186" s="78"/>
      <c r="J186" s="79"/>
      <c r="K186" s="8"/>
      <c r="L186" s="9"/>
      <c r="M186" s="154"/>
      <c r="N186" s="10"/>
    </row>
    <row r="187" spans="1:14" x14ac:dyDescent="0.25">
      <c r="A187" s="72"/>
      <c r="B187" s="80" t="s">
        <v>170</v>
      </c>
      <c r="C187" s="73"/>
      <c r="D187" s="74"/>
      <c r="E187" s="74"/>
      <c r="F187" s="75"/>
      <c r="G187" s="76"/>
      <c r="H187" s="77"/>
      <c r="I187" s="78"/>
      <c r="J187" s="79"/>
      <c r="K187" s="8"/>
      <c r="L187" s="9"/>
      <c r="M187" s="154"/>
      <c r="N187" s="10"/>
    </row>
    <row r="188" spans="1:14" x14ac:dyDescent="0.25">
      <c r="A188" s="72"/>
      <c r="B188" s="80" t="s">
        <v>172</v>
      </c>
      <c r="C188" s="73"/>
      <c r="D188" s="74"/>
      <c r="E188" s="74"/>
      <c r="F188" s="75"/>
      <c r="G188" s="76"/>
      <c r="H188" s="77"/>
      <c r="I188" s="78"/>
      <c r="J188" s="79"/>
      <c r="K188" s="8"/>
      <c r="L188" s="9"/>
      <c r="M188" s="154"/>
      <c r="N188" s="10"/>
    </row>
    <row r="189" spans="1:14" x14ac:dyDescent="0.25">
      <c r="A189" s="72"/>
      <c r="B189" s="80" t="s">
        <v>174</v>
      </c>
      <c r="C189" s="73"/>
      <c r="D189" s="74"/>
      <c r="E189" s="74"/>
      <c r="F189" s="75"/>
      <c r="G189" s="76"/>
      <c r="H189" s="77"/>
      <c r="I189" s="78"/>
      <c r="J189" s="79"/>
      <c r="K189" s="8"/>
      <c r="L189" s="9"/>
      <c r="M189" s="154"/>
      <c r="N189" s="10"/>
    </row>
    <row r="190" spans="1:14" x14ac:dyDescent="0.25">
      <c r="A190" s="72"/>
      <c r="B190" s="80" t="s">
        <v>175</v>
      </c>
      <c r="C190" s="73"/>
      <c r="D190" s="74"/>
      <c r="E190" s="74"/>
      <c r="F190" s="75"/>
      <c r="G190" s="76"/>
      <c r="H190" s="77"/>
      <c r="I190" s="78"/>
      <c r="J190" s="79"/>
      <c r="K190" s="8"/>
      <c r="L190" s="9"/>
      <c r="M190" s="154"/>
      <c r="N190" s="10"/>
    </row>
    <row r="191" spans="1:14" x14ac:dyDescent="0.25">
      <c r="A191" s="72"/>
      <c r="B191" s="80" t="s">
        <v>177</v>
      </c>
      <c r="C191" s="73"/>
      <c r="D191" s="74"/>
      <c r="E191" s="74"/>
      <c r="F191" s="75"/>
      <c r="G191" s="76"/>
      <c r="H191" s="77"/>
      <c r="I191" s="78"/>
      <c r="J191" s="79"/>
      <c r="K191" s="8"/>
      <c r="L191" s="9"/>
      <c r="M191" s="154"/>
      <c r="N191" s="10"/>
    </row>
    <row r="192" spans="1:14" x14ac:dyDescent="0.25">
      <c r="A192" s="72"/>
      <c r="B192" s="80" t="s">
        <v>180</v>
      </c>
      <c r="C192" s="73"/>
      <c r="D192" s="74"/>
      <c r="E192" s="74"/>
      <c r="F192" s="75"/>
      <c r="G192" s="76"/>
      <c r="H192" s="77"/>
      <c r="I192" s="78"/>
      <c r="J192" s="79"/>
      <c r="K192" s="8"/>
      <c r="L192" s="9"/>
      <c r="M192" s="154"/>
      <c r="N192" s="10"/>
    </row>
    <row r="193" spans="1:14" x14ac:dyDescent="0.25">
      <c r="A193" s="72"/>
      <c r="B193" s="80" t="s">
        <v>183</v>
      </c>
      <c r="C193" s="73"/>
      <c r="D193" s="74"/>
      <c r="E193" s="74"/>
      <c r="F193" s="75"/>
      <c r="G193" s="76"/>
      <c r="H193" s="77"/>
      <c r="I193" s="78"/>
      <c r="J193" s="79"/>
      <c r="K193" s="8"/>
      <c r="L193" s="9"/>
      <c r="M193" s="154"/>
      <c r="N193" s="10"/>
    </row>
    <row r="194" spans="1:14" x14ac:dyDescent="0.25">
      <c r="A194" s="72"/>
      <c r="B194" s="80" t="s">
        <v>186</v>
      </c>
      <c r="C194" s="73"/>
      <c r="D194" s="74"/>
      <c r="E194" s="74"/>
      <c r="F194" s="75"/>
      <c r="G194" s="76"/>
      <c r="H194" s="77"/>
      <c r="I194" s="78"/>
      <c r="J194" s="79"/>
      <c r="K194" s="8"/>
      <c r="L194" s="9"/>
      <c r="M194" s="154"/>
      <c r="N194" s="10"/>
    </row>
    <row r="195" spans="1:14" x14ac:dyDescent="0.25">
      <c r="A195" s="72"/>
      <c r="B195" s="80" t="s">
        <v>187</v>
      </c>
      <c r="C195" s="73"/>
      <c r="D195" s="74"/>
      <c r="E195" s="74"/>
      <c r="F195" s="75"/>
      <c r="G195" s="76"/>
      <c r="H195" s="77"/>
      <c r="I195" s="78"/>
      <c r="J195" s="79"/>
      <c r="K195" s="8"/>
      <c r="L195" s="9"/>
      <c r="M195" s="154"/>
      <c r="N195" s="10"/>
    </row>
    <row r="196" spans="1:14" x14ac:dyDescent="0.25">
      <c r="A196" s="72"/>
      <c r="B196" s="80" t="s">
        <v>189</v>
      </c>
      <c r="C196" s="73"/>
      <c r="D196" s="74"/>
      <c r="E196" s="74"/>
      <c r="F196" s="75"/>
      <c r="G196" s="76"/>
      <c r="H196" s="77"/>
      <c r="I196" s="78"/>
      <c r="J196" s="79"/>
      <c r="K196" s="8"/>
      <c r="L196" s="9"/>
      <c r="M196" s="154"/>
      <c r="N196" s="10"/>
    </row>
    <row r="197" spans="1:14" x14ac:dyDescent="0.25">
      <c r="A197" s="72"/>
      <c r="B197" s="80" t="s">
        <v>192</v>
      </c>
      <c r="C197" s="73"/>
      <c r="D197" s="74"/>
      <c r="E197" s="74"/>
      <c r="F197" s="75"/>
      <c r="G197" s="76"/>
      <c r="H197" s="77"/>
      <c r="I197" s="78"/>
      <c r="J197" s="79"/>
      <c r="K197" s="8"/>
      <c r="L197" s="9"/>
      <c r="M197" s="154"/>
      <c r="N197" s="10"/>
    </row>
    <row r="198" spans="1:14" x14ac:dyDescent="0.25">
      <c r="A198" s="72"/>
      <c r="B198" s="80" t="s">
        <v>195</v>
      </c>
      <c r="C198" s="73"/>
      <c r="D198" s="74"/>
      <c r="E198" s="74"/>
      <c r="F198" s="75"/>
      <c r="G198" s="76"/>
      <c r="H198" s="77"/>
      <c r="I198" s="78"/>
      <c r="J198" s="79"/>
      <c r="K198" s="8"/>
      <c r="L198" s="9"/>
      <c r="M198" s="154"/>
      <c r="N198" s="10"/>
    </row>
    <row r="199" spans="1:14" x14ac:dyDescent="0.25">
      <c r="A199" s="72"/>
      <c r="B199" s="80" t="s">
        <v>198</v>
      </c>
      <c r="C199" s="73"/>
      <c r="D199" s="74"/>
      <c r="E199" s="74"/>
      <c r="F199" s="75"/>
      <c r="G199" s="76"/>
      <c r="H199" s="77"/>
      <c r="I199" s="78"/>
      <c r="J199" s="79"/>
      <c r="K199" s="8"/>
      <c r="L199" s="9"/>
      <c r="M199" s="154"/>
      <c r="N199" s="10"/>
    </row>
    <row r="200" spans="1:14" x14ac:dyDescent="0.25">
      <c r="A200" s="72"/>
      <c r="B200" s="80" t="s">
        <v>200</v>
      </c>
      <c r="C200" s="73"/>
      <c r="D200" s="74"/>
      <c r="E200" s="74"/>
      <c r="F200" s="75"/>
      <c r="G200" s="76"/>
      <c r="H200" s="77"/>
      <c r="I200" s="78"/>
      <c r="J200" s="79"/>
      <c r="K200" s="8"/>
      <c r="L200" s="9"/>
      <c r="M200" s="154"/>
      <c r="N200" s="10"/>
    </row>
    <row r="201" spans="1:14" x14ac:dyDescent="0.25">
      <c r="A201" s="72"/>
      <c r="B201" s="80" t="s">
        <v>202</v>
      </c>
      <c r="C201" s="73"/>
      <c r="D201" s="74"/>
      <c r="E201" s="74"/>
      <c r="F201" s="75"/>
      <c r="G201" s="76"/>
      <c r="H201" s="77"/>
      <c r="I201" s="78"/>
      <c r="J201" s="79"/>
      <c r="K201" s="8"/>
      <c r="L201" s="9"/>
      <c r="M201" s="154"/>
      <c r="N201" s="10"/>
    </row>
    <row r="202" spans="1:14" x14ac:dyDescent="0.25">
      <c r="A202" s="72"/>
      <c r="B202" s="80" t="s">
        <v>205</v>
      </c>
      <c r="C202" s="73"/>
      <c r="D202" s="74"/>
      <c r="E202" s="74"/>
      <c r="F202" s="75"/>
      <c r="G202" s="76"/>
      <c r="H202" s="77"/>
      <c r="I202" s="78"/>
      <c r="J202" s="79"/>
      <c r="K202" s="8"/>
      <c r="L202" s="9"/>
      <c r="M202" s="154"/>
      <c r="N202" s="10"/>
    </row>
    <row r="203" spans="1:14" x14ac:dyDescent="0.25">
      <c r="A203" s="72"/>
      <c r="B203" s="80" t="s">
        <v>208</v>
      </c>
      <c r="C203" s="73"/>
      <c r="D203" s="74"/>
      <c r="E203" s="74"/>
      <c r="F203" s="75"/>
      <c r="G203" s="76"/>
      <c r="H203" s="77"/>
      <c r="I203" s="78"/>
      <c r="J203" s="79"/>
      <c r="K203" s="8"/>
      <c r="L203" s="9"/>
      <c r="M203" s="154"/>
      <c r="N203" s="10"/>
    </row>
    <row r="204" spans="1:14" x14ac:dyDescent="0.25">
      <c r="A204" s="72"/>
      <c r="B204" s="80" t="s">
        <v>211</v>
      </c>
      <c r="C204" s="73"/>
      <c r="D204" s="74"/>
      <c r="E204" s="74"/>
      <c r="F204" s="75"/>
      <c r="G204" s="76"/>
      <c r="H204" s="77"/>
      <c r="I204" s="78"/>
      <c r="J204" s="79"/>
      <c r="K204" s="8"/>
      <c r="L204" s="9"/>
      <c r="M204" s="154"/>
      <c r="N204" s="10"/>
    </row>
    <row r="205" spans="1:14" x14ac:dyDescent="0.25">
      <c r="A205" s="72"/>
      <c r="B205" s="80" t="s">
        <v>214</v>
      </c>
      <c r="C205" s="73"/>
      <c r="D205" s="74"/>
      <c r="E205" s="74"/>
      <c r="F205" s="75"/>
      <c r="G205" s="76"/>
      <c r="H205" s="77"/>
      <c r="I205" s="78"/>
      <c r="J205" s="79"/>
      <c r="K205" s="8"/>
      <c r="L205" s="9"/>
      <c r="M205" s="154"/>
      <c r="N205" s="10"/>
    </row>
    <row r="206" spans="1:14" x14ac:dyDescent="0.25">
      <c r="A206" s="72"/>
      <c r="B206" s="80" t="s">
        <v>217</v>
      </c>
      <c r="C206" s="73"/>
      <c r="D206" s="74"/>
      <c r="E206" s="74"/>
      <c r="F206" s="75"/>
      <c r="G206" s="76"/>
      <c r="H206" s="77"/>
      <c r="I206" s="78"/>
      <c r="J206" s="79"/>
      <c r="K206" s="8"/>
      <c r="L206" s="9"/>
      <c r="M206" s="154"/>
      <c r="N206" s="10"/>
    </row>
    <row r="207" spans="1:14" x14ac:dyDescent="0.25">
      <c r="A207" s="72"/>
      <c r="B207" s="80" t="s">
        <v>220</v>
      </c>
      <c r="C207" s="73"/>
      <c r="D207" s="74"/>
      <c r="E207" s="74"/>
      <c r="F207" s="75"/>
      <c r="G207" s="76"/>
      <c r="H207" s="77"/>
      <c r="I207" s="78"/>
      <c r="J207" s="79"/>
      <c r="K207" s="8"/>
      <c r="L207" s="9"/>
      <c r="M207" s="154"/>
      <c r="N207" s="10"/>
    </row>
    <row r="208" spans="1:14" x14ac:dyDescent="0.25">
      <c r="A208" s="72"/>
      <c r="B208" s="80" t="s">
        <v>223</v>
      </c>
      <c r="C208" s="73"/>
      <c r="D208" s="74"/>
      <c r="E208" s="74"/>
      <c r="F208" s="75"/>
      <c r="G208" s="76"/>
      <c r="H208" s="77"/>
      <c r="I208" s="78"/>
      <c r="J208" s="79"/>
      <c r="K208" s="8"/>
      <c r="L208" s="9"/>
      <c r="M208" s="154"/>
      <c r="N208" s="10"/>
    </row>
    <row r="209" spans="1:14" x14ac:dyDescent="0.25">
      <c r="A209" s="72"/>
      <c r="B209" s="80" t="s">
        <v>226</v>
      </c>
      <c r="C209" s="73"/>
      <c r="D209" s="74"/>
      <c r="E209" s="74"/>
      <c r="F209" s="75"/>
      <c r="G209" s="76"/>
      <c r="H209" s="77"/>
      <c r="I209" s="78"/>
      <c r="J209" s="79"/>
      <c r="K209" s="8"/>
      <c r="L209" s="9"/>
      <c r="M209" s="154"/>
      <c r="N209" s="10"/>
    </row>
    <row r="210" spans="1:14" x14ac:dyDescent="0.25">
      <c r="A210" s="72"/>
      <c r="B210" s="80" t="s">
        <v>228</v>
      </c>
      <c r="C210" s="73"/>
      <c r="D210" s="74"/>
      <c r="E210" s="74"/>
      <c r="F210" s="75"/>
      <c r="G210" s="76"/>
      <c r="H210" s="77"/>
      <c r="I210" s="78"/>
      <c r="J210" s="79"/>
      <c r="K210" s="8"/>
      <c r="L210" s="9"/>
      <c r="M210" s="154"/>
      <c r="N210" s="10"/>
    </row>
    <row r="211" spans="1:14" x14ac:dyDescent="0.25">
      <c r="A211" s="72"/>
      <c r="B211" s="80" t="s">
        <v>231</v>
      </c>
      <c r="C211" s="73"/>
      <c r="D211" s="74"/>
      <c r="E211" s="74"/>
      <c r="F211" s="75"/>
      <c r="G211" s="76"/>
      <c r="H211" s="77"/>
      <c r="I211" s="78"/>
      <c r="J211" s="79"/>
      <c r="K211" s="8"/>
      <c r="L211" s="9"/>
      <c r="M211" s="154"/>
      <c r="N211" s="10"/>
    </row>
    <row r="212" spans="1:14" x14ac:dyDescent="0.25">
      <c r="A212" s="72"/>
      <c r="B212" s="80" t="s">
        <v>233</v>
      </c>
      <c r="C212" s="73"/>
      <c r="D212" s="74"/>
      <c r="E212" s="74"/>
      <c r="F212" s="75"/>
      <c r="G212" s="76"/>
      <c r="H212" s="77"/>
      <c r="I212" s="78"/>
      <c r="J212" s="79"/>
      <c r="K212" s="8"/>
      <c r="L212" s="9"/>
      <c r="M212" s="154"/>
      <c r="N212" s="10"/>
    </row>
    <row r="213" spans="1:14" x14ac:dyDescent="0.25">
      <c r="A213" s="72"/>
      <c r="B213" s="80" t="s">
        <v>235</v>
      </c>
      <c r="C213" s="73"/>
      <c r="D213" s="74"/>
      <c r="E213" s="74"/>
      <c r="F213" s="75"/>
      <c r="G213" s="76"/>
      <c r="H213" s="77"/>
      <c r="I213" s="78"/>
      <c r="J213" s="79"/>
      <c r="K213" s="8"/>
      <c r="L213" s="9"/>
      <c r="M213" s="154"/>
      <c r="N213" s="10"/>
    </row>
    <row r="214" spans="1:14" x14ac:dyDescent="0.25">
      <c r="A214" s="72"/>
      <c r="B214" s="80" t="s">
        <v>237</v>
      </c>
      <c r="C214" s="73"/>
      <c r="D214" s="74"/>
      <c r="E214" s="74"/>
      <c r="F214" s="75"/>
      <c r="G214" s="76"/>
      <c r="H214" s="77"/>
      <c r="I214" s="78"/>
      <c r="J214" s="79"/>
      <c r="K214" s="8"/>
      <c r="L214" s="9"/>
      <c r="M214" s="154"/>
      <c r="N214" s="10"/>
    </row>
    <row r="215" spans="1:14" x14ac:dyDescent="0.25">
      <c r="A215" s="72"/>
      <c r="B215" s="80" t="s">
        <v>239</v>
      </c>
      <c r="C215" s="73"/>
      <c r="D215" s="74"/>
      <c r="E215" s="74"/>
      <c r="F215" s="75"/>
      <c r="G215" s="76"/>
      <c r="H215" s="77"/>
      <c r="I215" s="78"/>
      <c r="J215" s="79"/>
      <c r="K215" s="8"/>
      <c r="L215" s="9"/>
      <c r="M215" s="154"/>
      <c r="N215" s="10"/>
    </row>
    <row r="216" spans="1:14" x14ac:dyDescent="0.25">
      <c r="A216" s="116"/>
    </row>
    <row r="217" spans="1:14" x14ac:dyDescent="0.25">
      <c r="A217" t="s">
        <v>29</v>
      </c>
      <c r="B217" s="117" t="s">
        <v>474</v>
      </c>
      <c r="E217" t="s">
        <v>23</v>
      </c>
      <c r="J217" t="s">
        <v>332</v>
      </c>
    </row>
  </sheetData>
  <autoFilter ref="A5:N217" xr:uid="{00000000-0009-0000-0000-000004000000}"/>
  <mergeCells count="22">
    <mergeCell ref="L5:L6"/>
    <mergeCell ref="G5:G6"/>
    <mergeCell ref="H5:H6"/>
    <mergeCell ref="I5:I6"/>
    <mergeCell ref="J5:J6"/>
    <mergeCell ref="K5:K6"/>
    <mergeCell ref="M5:M6"/>
    <mergeCell ref="A1:B2"/>
    <mergeCell ref="C1:N1"/>
    <mergeCell ref="C2:N2"/>
    <mergeCell ref="A3:B3"/>
    <mergeCell ref="C3:N3"/>
    <mergeCell ref="N5:N6"/>
    <mergeCell ref="A4:C4"/>
    <mergeCell ref="D4:K4"/>
    <mergeCell ref="L4:N4"/>
    <mergeCell ref="A5:A6"/>
    <mergeCell ref="B5:B6"/>
    <mergeCell ref="C5:C6"/>
    <mergeCell ref="D5:D6"/>
    <mergeCell ref="E5:E6"/>
    <mergeCell ref="F5:F6"/>
  </mergeCells>
  <dataValidations count="8">
    <dataValidation type="list" allowBlank="1" showErrorMessage="1" sqref="A3" xr:uid="{00000000-0002-0000-0400-000000000000}">
      <formula1>"#ref!"</formula1>
      <formula2>0</formula2>
    </dataValidation>
    <dataValidation type="list" allowBlank="1" showInputMessage="1" showErrorMessage="1" sqref="A7:A1217" xr:uid="{00000000-0002-0000-0400-000001000000}">
      <formula1>$S$8:$S$10</formula1>
      <formula2>0</formula2>
    </dataValidation>
    <dataValidation type="list" allowBlank="1" showInputMessage="1" showErrorMessage="1" sqref="G7:G1217" xr:uid="{00000000-0002-0000-0400-000002000000}">
      <formula1>$Y$8:$Y$33</formula1>
      <formula2>0</formula2>
    </dataValidation>
    <dataValidation type="list" allowBlank="1" showInputMessage="1" showErrorMessage="1" sqref="E7:E1217" xr:uid="{00000000-0002-0000-0400-000003000000}">
      <formula1>$W$8:$W$14</formula1>
      <formula2>0</formula2>
    </dataValidation>
    <dataValidation type="list" allowBlank="1" showInputMessage="1" showErrorMessage="1" sqref="D7:D1217" xr:uid="{00000000-0002-0000-0400-000004000000}">
      <formula1>$U$8:$U$22</formula1>
      <formula2>0</formula2>
    </dataValidation>
    <dataValidation type="list" allowBlank="1" showInputMessage="1" showErrorMessage="1" sqref="J7:J16 J18:J48" xr:uid="{00000000-0002-0000-0400-000005000000}">
      <formula1>$Q$9:$Q$17</formula1>
      <formula2>0</formula2>
    </dataValidation>
    <dataValidation type="list" allowBlank="1" showInputMessage="1" showErrorMessage="1" sqref="J17" xr:uid="{00000000-0002-0000-0400-000006000000}">
      <formula1>$Q$9:$Q$18</formula1>
      <formula2>0</formula2>
    </dataValidation>
    <dataValidation type="list" allowBlank="1" showInputMessage="1" showErrorMessage="1" sqref="J49:J1217" xr:uid="{00000000-0002-0000-0400-000007000000}">
      <formula1>$Q$8:$Q$22</formula1>
      <formula2>0</formula2>
    </dataValidation>
  </dataValidations>
  <pageMargins left="0.25" right="0.25" top="0.75" bottom="0.75" header="0.511811023622047" footer="0.511811023622047"/>
  <pageSetup paperSize="9" fitToHeight="0"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1824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65</vt:i4>
      </vt:variant>
    </vt:vector>
  </HeadingPairs>
  <TitlesOfParts>
    <vt:vector size="70" baseType="lpstr">
      <vt:lpstr>N_SMF2025</vt:lpstr>
      <vt:lpstr>N_SMF2024</vt:lpstr>
      <vt:lpstr>N_SMF2023</vt:lpstr>
      <vt:lpstr>N_SMF2022</vt:lpstr>
      <vt:lpstr>N_SMF2021</vt:lpstr>
      <vt:lpstr>N_SMF2021!__xlnm__FilterDatabase</vt:lpstr>
      <vt:lpstr>N_SMF2022!__xlnm__FilterDatabase</vt:lpstr>
      <vt:lpstr>N_SMF2023!__xlnm__FilterDatabase</vt:lpstr>
      <vt:lpstr>N_SMF2024!__xlnm__FilterDatabase</vt:lpstr>
      <vt:lpstr>N_SMF2025!__xlnm__FilterDatabase</vt:lpstr>
      <vt:lpstr>N_SMF2021!__xlnm__FilterDatabase_0</vt:lpstr>
      <vt:lpstr>N_SMF2022!__xlnm__FilterDatabase_0</vt:lpstr>
      <vt:lpstr>N_SMF2023!__xlnm__FilterDatabase_0</vt:lpstr>
      <vt:lpstr>N_SMF2024!__xlnm__FilterDatabase_0</vt:lpstr>
      <vt:lpstr>N_SMF2025!__xlnm__FilterDatabase_0</vt:lpstr>
      <vt:lpstr>N_SMF2021!__xlnm__FilterDatabase_0_0</vt:lpstr>
      <vt:lpstr>N_SMF2022!__xlnm__FilterDatabase_0_0</vt:lpstr>
      <vt:lpstr>N_SMF2023!__xlnm__FilterDatabase_0_0</vt:lpstr>
      <vt:lpstr>N_SMF2024!__xlnm__FilterDatabase_0_0</vt:lpstr>
      <vt:lpstr>N_SMF2025!__xlnm__FilterDatabase_0_0</vt:lpstr>
      <vt:lpstr>N_SMF2021!__xlnm__FilterDatabase_0_0_0</vt:lpstr>
      <vt:lpstr>N_SMF2022!__xlnm__FilterDatabase_0_0_0</vt:lpstr>
      <vt:lpstr>N_SMF2023!__xlnm__FilterDatabase_0_0_0</vt:lpstr>
      <vt:lpstr>N_SMF2024!__xlnm__FilterDatabase_0_0_0</vt:lpstr>
      <vt:lpstr>N_SMF2025!__xlnm__FilterDatabase_0_0_0</vt:lpstr>
      <vt:lpstr>N_SMF2021!__xlnm__FilterDatabase_0_0_0_0</vt:lpstr>
      <vt:lpstr>N_SMF2022!__xlnm__FilterDatabase_0_0_0_0</vt:lpstr>
      <vt:lpstr>N_SMF2023!__xlnm__FilterDatabase_0_0_0_0</vt:lpstr>
      <vt:lpstr>N_SMF2024!__xlnm__FilterDatabase_0_0_0_0</vt:lpstr>
      <vt:lpstr>N_SMF2025!__xlnm__FilterDatabase_0_0_0_0</vt:lpstr>
      <vt:lpstr>N_SMF2021!__xlnm__FilterDatabase_0_0_0_0_0</vt:lpstr>
      <vt:lpstr>N_SMF2022!__xlnm__FilterDatabase_0_0_0_0_0</vt:lpstr>
      <vt:lpstr>N_SMF2023!__xlnm__FilterDatabase_0_0_0_0_0</vt:lpstr>
      <vt:lpstr>N_SMF2024!__xlnm__FilterDatabase_0_0_0_0_0</vt:lpstr>
      <vt:lpstr>N_SMF2025!__xlnm__FilterDatabase_0_0_0_0_0</vt:lpstr>
      <vt:lpstr>N_SMF2021!__xlnm__FilterDatabase_0_0_0_0_0_0</vt:lpstr>
      <vt:lpstr>N_SMF2022!__xlnm__FilterDatabase_0_0_0_0_0_0</vt:lpstr>
      <vt:lpstr>N_SMF2023!__xlnm__FilterDatabase_0_0_0_0_0_0</vt:lpstr>
      <vt:lpstr>N_SMF2024!__xlnm__FilterDatabase_0_0_0_0_0_0</vt:lpstr>
      <vt:lpstr>N_SMF2025!__xlnm__FilterDatabase_0_0_0_0_0_0</vt:lpstr>
      <vt:lpstr>N_SMF2021!__xlnm__FilterDatabase_0_0_0_0_0_0_0</vt:lpstr>
      <vt:lpstr>N_SMF2022!__xlnm__FilterDatabase_0_0_0_0_0_0_0</vt:lpstr>
      <vt:lpstr>N_SMF2023!__xlnm__FilterDatabase_0_0_0_0_0_0_0</vt:lpstr>
      <vt:lpstr>N_SMF2024!__xlnm__FilterDatabase_0_0_0_0_0_0_0</vt:lpstr>
      <vt:lpstr>N_SMF2025!__xlnm__FilterDatabase_0_0_0_0_0_0_0</vt:lpstr>
      <vt:lpstr>N_SMF2021!__xlnm__FilterDatabase_0_0_0_0_0_0_0_0</vt:lpstr>
      <vt:lpstr>N_SMF2022!__xlnm__FilterDatabase_0_0_0_0_0_0_0_0</vt:lpstr>
      <vt:lpstr>N_SMF2023!__xlnm__FilterDatabase_0_0_0_0_0_0_0_0</vt:lpstr>
      <vt:lpstr>N_SMF2024!__xlnm__FilterDatabase_0_0_0_0_0_0_0_0</vt:lpstr>
      <vt:lpstr>N_SMF2025!__xlnm__FilterDatabase_0_0_0_0_0_0_0_0</vt:lpstr>
      <vt:lpstr>N_SMF2021!__xlnm__FilterDatabase_0_0_0_0_0_0_0_0_0</vt:lpstr>
      <vt:lpstr>N_SMF2022!__xlnm__FilterDatabase_0_0_0_0_0_0_0_0_0</vt:lpstr>
      <vt:lpstr>N_SMF2023!__xlnm__FilterDatabase_0_0_0_0_0_0_0_0_0</vt:lpstr>
      <vt:lpstr>N_SMF2024!__xlnm__FilterDatabase_0_0_0_0_0_0_0_0_0</vt:lpstr>
      <vt:lpstr>N_SMF2025!__xlnm__FilterDatabase_0_0_0_0_0_0_0_0_0</vt:lpstr>
      <vt:lpstr>N_SMF2021!__xlnm__FilterDatabase_0_0_0_0_0_0_0_0_0_0</vt:lpstr>
      <vt:lpstr>N_SMF2022!__xlnm__FilterDatabase_0_0_0_0_0_0_0_0_0_0</vt:lpstr>
      <vt:lpstr>N_SMF2023!__xlnm__FilterDatabase_0_0_0_0_0_0_0_0_0_0</vt:lpstr>
      <vt:lpstr>N_SMF2024!__xlnm__FilterDatabase_0_0_0_0_0_0_0_0_0_0</vt:lpstr>
      <vt:lpstr>N_SMF2025!__xlnm__FilterDatabase_0_0_0_0_0_0_0_0_0_0</vt:lpstr>
      <vt:lpstr>N_SMF2021!_FilterDatabase_0</vt:lpstr>
      <vt:lpstr>N_SMF2022!_FilterDatabase_0</vt:lpstr>
      <vt:lpstr>N_SMF2023!_FilterDatabase_0</vt:lpstr>
      <vt:lpstr>N_SMF2024!_FilterDatabase_0</vt:lpstr>
      <vt:lpstr>N_SMF2025!_FilterDatabase_0</vt:lpstr>
      <vt:lpstr>N_SMF2021!Excel_BuiltIn__FilterDatabase</vt:lpstr>
      <vt:lpstr>N_SMF2022!Excel_BuiltIn__FilterDatabase</vt:lpstr>
      <vt:lpstr>N_SMF2023!Excel_BuiltIn__FilterDatabase</vt:lpstr>
      <vt:lpstr>N_SMF2024!Excel_BuiltIn__FilterDatabase</vt:lpstr>
      <vt:lpstr>N_SMF2025!Excel_BuiltIn__FilterDatabase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marines</dc:creator>
  <cp:lastModifiedBy>Tomas Del Bo</cp:lastModifiedBy>
  <cp:revision>30</cp:revision>
  <cp:lastPrinted>2019-03-12T12:17:09Z</cp:lastPrinted>
  <dcterms:created xsi:type="dcterms:W3CDTF">2017-12-04T14:20:00Z</dcterms:created>
  <dcterms:modified xsi:type="dcterms:W3CDTF">2025-11-09T12:48:53Z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KSOProductBuildVer">
    <vt:lpwstr>2058-10.2.0.6020</vt:lpwstr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